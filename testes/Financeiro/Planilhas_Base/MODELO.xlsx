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"/>
    </mc:Choice>
  </mc:AlternateContent>
  <xr:revisionPtr revIDLastSave="0" documentId="13_ncr:1_{D3F0D630-06C9-4377-945F-415ED13EBDFB}" xr6:coauthVersionLast="47" xr6:coauthVersionMax="47" xr10:uidLastSave="{00000000-0000-0000-0000-000000000000}"/>
  <bookViews>
    <workbookView xWindow="780" yWindow="780" windowWidth="15285" windowHeight="14910" xr2:uid="{00000000-000D-0000-FFFF-FFFF00000000}"/>
  </bookViews>
  <sheets>
    <sheet name="Dados" sheetId="3" r:id="rId1"/>
    <sheet name="RESUMO" sheetId="2" r:id="rId2"/>
    <sheet name="Tp.Despesas" sheetId="1" r:id="rId3"/>
  </sheets>
  <definedNames>
    <definedName name="_xlnm._FilterDatabase" localSheetId="0" hidden="1">Dados!$A$1:$O$1</definedName>
    <definedName name="_xlnm.Print_Area" localSheetId="1">RESUMO!$A$1:$L$107</definedName>
    <definedName name="_xlnm.Print_Area" localSheetId="2">Tp.Despesas!$A$1:$J$47</definedName>
    <definedName name="_xlnm.Print_Titles" localSheetId="1">RESUMO!$1:$5</definedName>
    <definedName name="_xlnm.Print_Titles" localSheetId="2">Tp.Despesas!$1:$5</definedName>
    <definedName name="Z_1F464119_5B8A_40C0_B182_993F69588B9D_.wvu.Cols" localSheetId="0" hidden="1">Dados!$H:$R</definedName>
    <definedName name="Z_1F464119_5B8A_40C0_B182_993F69588B9D_.wvu.FilterData" localSheetId="0" hidden="1">Dados!$A$1:$O$1</definedName>
    <definedName name="Z_4D7D1941_B5FD_47B6_8D54_2E45180B8868_.wvu.Cols" localSheetId="0" hidden="1">Dados!$H:$R</definedName>
    <definedName name="Z_4D7D1941_B5FD_47B6_8D54_2E45180B8868_.wvu.FilterData" localSheetId="0" hidden="1">Dados!$A$1:$O$1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2" l="1"/>
  <c r="B56" i="2"/>
  <c r="B57" i="2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A9" i="2"/>
  <c r="F9" i="2" s="1"/>
  <c r="C9" i="2" l="1"/>
  <c r="D9" i="2"/>
  <c r="G9" i="2"/>
  <c r="H9" i="2"/>
  <c r="A9" i="1"/>
  <c r="D9" i="1" s="1"/>
  <c r="E9" i="2"/>
  <c r="A10" i="1" l="1"/>
  <c r="D10" i="1" s="1"/>
  <c r="E9" i="1"/>
  <c r="F9" i="1"/>
  <c r="C9" i="1"/>
  <c r="I9" i="1"/>
  <c r="G9" i="1"/>
  <c r="H9" i="1"/>
  <c r="C10" i="1"/>
  <c r="I10" i="1"/>
  <c r="H10" i="1"/>
  <c r="G10" i="1"/>
  <c r="F10" i="1"/>
  <c r="E10" i="1"/>
  <c r="A11" i="1" l="1"/>
  <c r="A12" i="1" s="1"/>
  <c r="H11" i="1" l="1"/>
  <c r="G11" i="1"/>
  <c r="F11" i="1"/>
  <c r="D11" i="1"/>
  <c r="I11" i="1"/>
  <c r="E11" i="1"/>
  <c r="C11" i="1"/>
  <c r="A13" i="1"/>
  <c r="F12" i="1"/>
  <c r="E12" i="1"/>
  <c r="D12" i="1"/>
  <c r="C12" i="1"/>
  <c r="I12" i="1"/>
  <c r="H12" i="1"/>
  <c r="G12" i="1"/>
  <c r="A14" i="1" l="1"/>
  <c r="G13" i="1"/>
  <c r="E13" i="1"/>
  <c r="I13" i="1"/>
  <c r="F13" i="1"/>
  <c r="C13" i="1"/>
  <c r="D13" i="1"/>
  <c r="H13" i="1"/>
  <c r="A15" i="1" l="1"/>
  <c r="H14" i="1"/>
  <c r="E14" i="1"/>
  <c r="D14" i="1"/>
  <c r="G14" i="1"/>
  <c r="F14" i="1"/>
  <c r="C14" i="1"/>
  <c r="I14" i="1"/>
  <c r="A16" i="1" l="1"/>
  <c r="I15" i="1"/>
  <c r="H15" i="1"/>
  <c r="F15" i="1"/>
  <c r="G15" i="1"/>
  <c r="D15" i="1"/>
  <c r="E15" i="1"/>
  <c r="C15" i="1"/>
  <c r="A17" i="1" l="1"/>
  <c r="D16" i="1"/>
  <c r="I16" i="1"/>
  <c r="H16" i="1"/>
  <c r="G16" i="1"/>
  <c r="F16" i="1"/>
  <c r="E16" i="1"/>
  <c r="C16" i="1"/>
  <c r="A18" i="1" l="1"/>
  <c r="C17" i="1"/>
  <c r="G17" i="1"/>
  <c r="D17" i="1"/>
  <c r="I17" i="1"/>
  <c r="F17" i="1"/>
  <c r="H17" i="1"/>
  <c r="E17" i="1"/>
  <c r="A19" i="1" l="1"/>
  <c r="D18" i="1"/>
  <c r="I18" i="1"/>
  <c r="C18" i="1"/>
  <c r="G18" i="1"/>
  <c r="H18" i="1"/>
  <c r="F18" i="1"/>
  <c r="E18" i="1"/>
  <c r="A20" i="1" l="1"/>
  <c r="E19" i="1"/>
  <c r="G19" i="1"/>
  <c r="D19" i="1"/>
  <c r="C19" i="1"/>
  <c r="I19" i="1"/>
  <c r="H19" i="1"/>
  <c r="F19" i="1"/>
  <c r="A21" i="1" l="1"/>
  <c r="F20" i="1"/>
  <c r="E20" i="1"/>
  <c r="D20" i="1"/>
  <c r="C20" i="1"/>
  <c r="I20" i="1"/>
  <c r="H20" i="1"/>
  <c r="G20" i="1"/>
  <c r="A22" i="1" l="1"/>
  <c r="G21" i="1"/>
  <c r="C21" i="1"/>
  <c r="I21" i="1"/>
  <c r="F21" i="1"/>
  <c r="E21" i="1"/>
  <c r="D21" i="1"/>
  <c r="H21" i="1"/>
  <c r="A23" i="1" l="1"/>
  <c r="H22" i="1"/>
  <c r="G22" i="1"/>
  <c r="E22" i="1"/>
  <c r="F22" i="1"/>
  <c r="C22" i="1"/>
  <c r="D22" i="1"/>
  <c r="I22" i="1"/>
  <c r="A24" i="1" l="1"/>
  <c r="I23" i="1"/>
  <c r="F23" i="1"/>
  <c r="H23" i="1"/>
  <c r="G23" i="1"/>
  <c r="E23" i="1"/>
  <c r="D23" i="1"/>
  <c r="C23" i="1"/>
  <c r="A25" i="1" l="1"/>
  <c r="F24" i="1"/>
  <c r="I24" i="1"/>
  <c r="H24" i="1"/>
  <c r="E24" i="1"/>
  <c r="G24" i="1"/>
  <c r="D24" i="1"/>
  <c r="C24" i="1"/>
  <c r="A26" i="1" l="1"/>
  <c r="C25" i="1"/>
  <c r="I25" i="1"/>
  <c r="G25" i="1"/>
  <c r="F25" i="1"/>
  <c r="H25" i="1"/>
  <c r="E25" i="1"/>
  <c r="D25" i="1"/>
  <c r="A27" i="1" l="1"/>
  <c r="D26" i="1"/>
  <c r="C26" i="1"/>
  <c r="G26" i="1"/>
  <c r="I26" i="1"/>
  <c r="H26" i="1"/>
  <c r="F26" i="1"/>
  <c r="E26" i="1"/>
  <c r="A28" i="1" l="1"/>
  <c r="E27" i="1"/>
  <c r="I27" i="1"/>
  <c r="D27" i="1"/>
  <c r="C27" i="1"/>
  <c r="H27" i="1"/>
  <c r="G27" i="1"/>
  <c r="F27" i="1"/>
  <c r="A29" i="1" l="1"/>
  <c r="F28" i="1"/>
  <c r="E28" i="1"/>
  <c r="D28" i="1"/>
  <c r="I28" i="1"/>
  <c r="C28" i="1"/>
  <c r="H28" i="1"/>
  <c r="G28" i="1"/>
  <c r="A30" i="1" l="1"/>
  <c r="G29" i="1"/>
  <c r="F29" i="1"/>
  <c r="E29" i="1"/>
  <c r="C29" i="1"/>
  <c r="D29" i="1"/>
  <c r="I29" i="1"/>
  <c r="H29" i="1"/>
  <c r="A31" i="1" l="1"/>
  <c r="H30" i="1"/>
  <c r="G30" i="1"/>
  <c r="F30" i="1"/>
  <c r="C30" i="1"/>
  <c r="E30" i="1"/>
  <c r="D30" i="1"/>
  <c r="I30" i="1"/>
  <c r="A32" i="1" l="1"/>
  <c r="I31" i="1"/>
  <c r="E31" i="1"/>
  <c r="H31" i="1"/>
  <c r="G31" i="1"/>
  <c r="D31" i="1"/>
  <c r="F31" i="1"/>
  <c r="C31" i="1"/>
  <c r="A33" i="1" l="1"/>
  <c r="G32" i="1"/>
  <c r="I32" i="1"/>
  <c r="C32" i="1"/>
  <c r="H32" i="1"/>
  <c r="F32" i="1"/>
  <c r="E32" i="1"/>
  <c r="D32" i="1"/>
  <c r="A34" i="1" l="1"/>
  <c r="C33" i="1"/>
  <c r="H33" i="1"/>
  <c r="I33" i="1"/>
  <c r="F33" i="1"/>
  <c r="G33" i="1"/>
  <c r="E33" i="1"/>
  <c r="D33" i="1"/>
  <c r="A35" i="1" l="1"/>
  <c r="D34" i="1"/>
  <c r="H34" i="1"/>
  <c r="C34" i="1"/>
  <c r="G34" i="1"/>
  <c r="I34" i="1"/>
  <c r="F34" i="1"/>
  <c r="E34" i="1"/>
  <c r="A36" i="1" l="1"/>
  <c r="E35" i="1"/>
  <c r="D35" i="1"/>
  <c r="C35" i="1"/>
  <c r="H35" i="1"/>
  <c r="I35" i="1"/>
  <c r="G35" i="1"/>
  <c r="F35" i="1"/>
  <c r="A37" i="1" l="1"/>
  <c r="F36" i="1"/>
  <c r="I36" i="1"/>
  <c r="E36" i="1"/>
  <c r="D36" i="1"/>
  <c r="C36" i="1"/>
  <c r="H36" i="1"/>
  <c r="G36" i="1"/>
  <c r="A38" i="1" l="1"/>
  <c r="G37" i="1"/>
  <c r="F37" i="1"/>
  <c r="E37" i="1"/>
  <c r="C37" i="1"/>
  <c r="D37" i="1"/>
  <c r="I37" i="1"/>
  <c r="H37" i="1"/>
  <c r="A39" i="1" l="1"/>
  <c r="H38" i="1"/>
  <c r="D38" i="1"/>
  <c r="G38" i="1"/>
  <c r="F38" i="1"/>
  <c r="C38" i="1"/>
  <c r="E38" i="1"/>
  <c r="I38" i="1"/>
  <c r="A40" i="1" l="1"/>
  <c r="I39" i="1"/>
  <c r="D39" i="1"/>
  <c r="H39" i="1"/>
  <c r="G39" i="1"/>
  <c r="F39" i="1"/>
  <c r="E39" i="1"/>
  <c r="C39" i="1"/>
  <c r="A41" i="1" l="1"/>
  <c r="I40" i="1"/>
  <c r="H40" i="1"/>
  <c r="F40" i="1"/>
  <c r="E40" i="1"/>
  <c r="G40" i="1"/>
  <c r="D40" i="1"/>
  <c r="C40" i="1"/>
  <c r="A42" i="1" l="1"/>
  <c r="C41" i="1"/>
  <c r="F41" i="1"/>
  <c r="I41" i="1"/>
  <c r="H41" i="1"/>
  <c r="G41" i="1"/>
  <c r="E41" i="1"/>
  <c r="D41" i="1"/>
  <c r="A43" i="1" l="1"/>
  <c r="D42" i="1"/>
  <c r="H42" i="1"/>
  <c r="G42" i="1"/>
  <c r="C42" i="1"/>
  <c r="I42" i="1"/>
  <c r="F42" i="1"/>
  <c r="E42" i="1"/>
  <c r="A44" i="1" l="1"/>
  <c r="E43" i="1"/>
  <c r="D43" i="1"/>
  <c r="C43" i="1"/>
  <c r="H43" i="1"/>
  <c r="G43" i="1"/>
  <c r="F43" i="1"/>
  <c r="I43" i="1"/>
  <c r="F44" i="1" l="1"/>
  <c r="F45" i="1" s="1"/>
  <c r="E44" i="1"/>
  <c r="E45" i="1" s="1"/>
  <c r="D44" i="1"/>
  <c r="D45" i="1" s="1"/>
  <c r="C44" i="1"/>
  <c r="C45" i="1" s="1"/>
  <c r="I44" i="1"/>
  <c r="I45" i="1" s="1"/>
  <c r="H44" i="1"/>
  <c r="H45" i="1" s="1"/>
  <c r="G44" i="1"/>
  <c r="G45" i="1" s="1"/>
  <c r="B10" i="2" l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10" i="2"/>
  <c r="A4" i="1"/>
  <c r="A3" i="1"/>
  <c r="B33" i="2" l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D10" i="2"/>
  <c r="C10" i="2"/>
  <c r="H10" i="2"/>
  <c r="G10" i="2"/>
  <c r="E10" i="2"/>
  <c r="F10" i="2"/>
  <c r="A11" i="2"/>
  <c r="F11" i="2" l="1"/>
  <c r="E11" i="2"/>
  <c r="D11" i="2"/>
  <c r="C11" i="2"/>
  <c r="H11" i="2"/>
  <c r="G11" i="2"/>
  <c r="A12" i="2"/>
  <c r="I11" i="2" l="1"/>
  <c r="J11" i="2" s="1"/>
  <c r="K11" i="2" s="1"/>
  <c r="H12" i="2"/>
  <c r="G12" i="2"/>
  <c r="F12" i="2"/>
  <c r="E12" i="2"/>
  <c r="D12" i="2"/>
  <c r="C12" i="2"/>
  <c r="A13" i="2"/>
  <c r="I10" i="2"/>
  <c r="H13" i="2" l="1"/>
  <c r="E13" i="2"/>
  <c r="D13" i="2"/>
  <c r="C13" i="2"/>
  <c r="F13" i="2"/>
  <c r="G13" i="2"/>
  <c r="I12" i="2"/>
  <c r="I9" i="2"/>
  <c r="J10" i="2"/>
  <c r="K10" i="2" s="1"/>
  <c r="A14" i="2"/>
  <c r="D14" i="2" l="1"/>
  <c r="C14" i="2"/>
  <c r="E14" i="2"/>
  <c r="H14" i="2"/>
  <c r="G14" i="2"/>
  <c r="F14" i="2"/>
  <c r="J9" i="2"/>
  <c r="K9" i="2" s="1"/>
  <c r="A15" i="2"/>
  <c r="J12" i="2"/>
  <c r="K12" i="2" s="1"/>
  <c r="I13" i="2"/>
  <c r="F15" i="2" l="1"/>
  <c r="E15" i="2"/>
  <c r="D15" i="2"/>
  <c r="G15" i="2"/>
  <c r="C15" i="2"/>
  <c r="H15" i="2"/>
  <c r="J13" i="2"/>
  <c r="L9" i="2"/>
  <c r="L10" i="2" s="1"/>
  <c r="L11" i="2" s="1"/>
  <c r="L12" i="2" s="1"/>
  <c r="A16" i="2"/>
  <c r="I14" i="2"/>
  <c r="I15" i="2" l="1"/>
  <c r="J15" i="2" s="1"/>
  <c r="K15" i="2" s="1"/>
  <c r="H16" i="2"/>
  <c r="G16" i="2"/>
  <c r="F16" i="2"/>
  <c r="C16" i="2"/>
  <c r="E16" i="2"/>
  <c r="D16" i="2"/>
  <c r="J14" i="2"/>
  <c r="K13" i="2"/>
  <c r="A17" i="2"/>
  <c r="H17" i="2" l="1"/>
  <c r="F17" i="2"/>
  <c r="C17" i="2"/>
  <c r="E17" i="2"/>
  <c r="D17" i="2"/>
  <c r="G17" i="2"/>
  <c r="A18" i="2"/>
  <c r="K14" i="2"/>
  <c r="I16" i="2"/>
  <c r="L13" i="2"/>
  <c r="I17" i="2" l="1"/>
  <c r="D18" i="2"/>
  <c r="C18" i="2"/>
  <c r="G18" i="2"/>
  <c r="E18" i="2"/>
  <c r="H18" i="2"/>
  <c r="F18" i="2"/>
  <c r="J16" i="2"/>
  <c r="K16" i="2" s="1"/>
  <c r="L14" i="2"/>
  <c r="L15" i="2" s="1"/>
  <c r="J17" i="2"/>
  <c r="K17" i="2" s="1"/>
  <c r="A19" i="2"/>
  <c r="G19" i="2" l="1"/>
  <c r="F19" i="2"/>
  <c r="E19" i="2"/>
  <c r="D19" i="2"/>
  <c r="H19" i="2"/>
  <c r="C19" i="2"/>
  <c r="L16" i="2"/>
  <c r="L17" i="2" s="1"/>
  <c r="A20" i="2"/>
  <c r="I18" i="2"/>
  <c r="H20" i="2" l="1"/>
  <c r="G20" i="2"/>
  <c r="F20" i="2"/>
  <c r="C20" i="2"/>
  <c r="E20" i="2"/>
  <c r="D20" i="2"/>
  <c r="A21" i="2"/>
  <c r="J18" i="2"/>
  <c r="K18" i="2" s="1"/>
  <c r="I19" i="2"/>
  <c r="C21" i="2" l="1"/>
  <c r="H21" i="2"/>
  <c r="D21" i="2"/>
  <c r="G21" i="2"/>
  <c r="F21" i="2"/>
  <c r="E21" i="2"/>
  <c r="L18" i="2"/>
  <c r="I20" i="2"/>
  <c r="A22" i="2"/>
  <c r="J19" i="2"/>
  <c r="K19" i="2" s="1"/>
  <c r="I21" i="2" l="1"/>
  <c r="L19" i="2"/>
  <c r="E22" i="2"/>
  <c r="D22" i="2"/>
  <c r="C22" i="2"/>
  <c r="G22" i="2"/>
  <c r="F22" i="2"/>
  <c r="H22" i="2"/>
  <c r="J21" i="2"/>
  <c r="K21" i="2" s="1"/>
  <c r="J20" i="2"/>
  <c r="K20" i="2" s="1"/>
  <c r="L20" i="2" s="1"/>
  <c r="A23" i="2"/>
  <c r="I22" i="2" l="1"/>
  <c r="G23" i="2"/>
  <c r="F23" i="2"/>
  <c r="E23" i="2"/>
  <c r="D23" i="2"/>
  <c r="H23" i="2"/>
  <c r="C23" i="2"/>
  <c r="L21" i="2"/>
  <c r="J22" i="2"/>
  <c r="K22" i="2" s="1"/>
  <c r="A24" i="2"/>
  <c r="H24" i="2" l="1"/>
  <c r="G24" i="2"/>
  <c r="F24" i="2"/>
  <c r="D24" i="2"/>
  <c r="E24" i="2"/>
  <c r="C24" i="2"/>
  <c r="L22" i="2"/>
  <c r="I23" i="2"/>
  <c r="A25" i="2"/>
  <c r="C25" i="2" l="1"/>
  <c r="H25" i="2"/>
  <c r="E25" i="2"/>
  <c r="D25" i="2"/>
  <c r="G25" i="2"/>
  <c r="F25" i="2"/>
  <c r="I24" i="2"/>
  <c r="A26" i="2"/>
  <c r="J23" i="2"/>
  <c r="K23" i="2" s="1"/>
  <c r="L23" i="2" s="1"/>
  <c r="E26" i="2" l="1"/>
  <c r="D26" i="2"/>
  <c r="C26" i="2"/>
  <c r="H26" i="2"/>
  <c r="G26" i="2"/>
  <c r="F26" i="2"/>
  <c r="I25" i="2"/>
  <c r="A27" i="2"/>
  <c r="J24" i="2"/>
  <c r="K24" i="2" s="1"/>
  <c r="L24" i="2" s="1"/>
  <c r="G27" i="2" l="1"/>
  <c r="F27" i="2"/>
  <c r="E27" i="2"/>
  <c r="D27" i="2"/>
  <c r="H27" i="2"/>
  <c r="C27" i="2"/>
  <c r="I26" i="2"/>
  <c r="A28" i="2"/>
  <c r="J25" i="2"/>
  <c r="K25" i="2" s="1"/>
  <c r="L25" i="2" s="1"/>
  <c r="H28" i="2" l="1"/>
  <c r="G28" i="2"/>
  <c r="F28" i="2"/>
  <c r="C28" i="2"/>
  <c r="E28" i="2"/>
  <c r="D28" i="2"/>
  <c r="I27" i="2"/>
  <c r="A29" i="2"/>
  <c r="J26" i="2"/>
  <c r="K26" i="2" s="1"/>
  <c r="L26" i="2" s="1"/>
  <c r="C29" i="2" l="1"/>
  <c r="H29" i="2"/>
  <c r="D29" i="2"/>
  <c r="G29" i="2"/>
  <c r="E29" i="2"/>
  <c r="F29" i="2"/>
  <c r="I28" i="2"/>
  <c r="A30" i="2"/>
  <c r="J27" i="2"/>
  <c r="K27" i="2" s="1"/>
  <c r="L27" i="2" s="1"/>
  <c r="E30" i="2" l="1"/>
  <c r="D30" i="2"/>
  <c r="C30" i="2"/>
  <c r="G30" i="2"/>
  <c r="F30" i="2"/>
  <c r="H30" i="2"/>
  <c r="A31" i="2"/>
  <c r="I29" i="2"/>
  <c r="J28" i="2"/>
  <c r="K28" i="2"/>
  <c r="L28" i="2" s="1"/>
  <c r="G31" i="2" l="1"/>
  <c r="F31" i="2"/>
  <c r="E31" i="2"/>
  <c r="D31" i="2"/>
  <c r="H31" i="2"/>
  <c r="C31" i="2"/>
  <c r="A32" i="2"/>
  <c r="I30" i="2"/>
  <c r="J29" i="2"/>
  <c r="K29" i="2" s="1"/>
  <c r="L29" i="2" s="1"/>
  <c r="H32" i="2" l="1"/>
  <c r="G32" i="2"/>
  <c r="F32" i="2"/>
  <c r="E32" i="2"/>
  <c r="D32" i="2"/>
  <c r="C32" i="2"/>
  <c r="A33" i="2"/>
  <c r="J30" i="2"/>
  <c r="K30" i="2" s="1"/>
  <c r="L30" i="2" s="1"/>
  <c r="I31" i="2"/>
  <c r="I32" i="2" l="1"/>
  <c r="J32" i="2" s="1"/>
  <c r="K32" i="2" s="1"/>
  <c r="C33" i="2"/>
  <c r="H33" i="2"/>
  <c r="E33" i="2"/>
  <c r="D33" i="2"/>
  <c r="G33" i="2"/>
  <c r="F33" i="2"/>
  <c r="J31" i="2"/>
  <c r="K31" i="2" s="1"/>
  <c r="L31" i="2" s="1"/>
  <c r="A34" i="2"/>
  <c r="E34" i="2" l="1"/>
  <c r="D34" i="2"/>
  <c r="C34" i="2"/>
  <c r="H34" i="2"/>
  <c r="G34" i="2"/>
  <c r="F34" i="2"/>
  <c r="I33" i="2"/>
  <c r="A35" i="2"/>
  <c r="L32" i="2"/>
  <c r="G35" i="2" l="1"/>
  <c r="F35" i="2"/>
  <c r="E35" i="2"/>
  <c r="D35" i="2"/>
  <c r="C35" i="2"/>
  <c r="H35" i="2"/>
  <c r="I34" i="2"/>
  <c r="A36" i="2"/>
  <c r="J33" i="2"/>
  <c r="K33" i="2" s="1"/>
  <c r="L33" i="2" s="1"/>
  <c r="H36" i="2" l="1"/>
  <c r="G36" i="2"/>
  <c r="F36" i="2"/>
  <c r="E36" i="2"/>
  <c r="D36" i="2"/>
  <c r="C36" i="2"/>
  <c r="A37" i="2"/>
  <c r="I35" i="2"/>
  <c r="J34" i="2"/>
  <c r="K34" i="2" s="1"/>
  <c r="L34" i="2" s="1"/>
  <c r="C37" i="2" l="1"/>
  <c r="H37" i="2"/>
  <c r="G37" i="2"/>
  <c r="F37" i="2"/>
  <c r="E37" i="2"/>
  <c r="D37" i="2"/>
  <c r="I36" i="2"/>
  <c r="J35" i="2"/>
  <c r="K35" i="2" s="1"/>
  <c r="L35" i="2" s="1"/>
  <c r="A38" i="2"/>
  <c r="E38" i="2" l="1"/>
  <c r="D38" i="2"/>
  <c r="C38" i="2"/>
  <c r="H38" i="2"/>
  <c r="G38" i="2"/>
  <c r="F38" i="2"/>
  <c r="A39" i="2"/>
  <c r="I37" i="2"/>
  <c r="J36" i="2"/>
  <c r="K36" i="2" s="1"/>
  <c r="L36" i="2" s="1"/>
  <c r="G39" i="2" l="1"/>
  <c r="F39" i="2"/>
  <c r="E39" i="2"/>
  <c r="D39" i="2"/>
  <c r="C39" i="2"/>
  <c r="H39" i="2"/>
  <c r="A40" i="2"/>
  <c r="I38" i="2"/>
  <c r="J37" i="2"/>
  <c r="K37" i="2" s="1"/>
  <c r="L37" i="2" s="1"/>
  <c r="H40" i="2" l="1"/>
  <c r="G40" i="2"/>
  <c r="F40" i="2"/>
  <c r="E40" i="2"/>
  <c r="C40" i="2"/>
  <c r="D40" i="2"/>
  <c r="A41" i="2"/>
  <c r="J38" i="2"/>
  <c r="K38" i="2" s="1"/>
  <c r="L38" i="2" s="1"/>
  <c r="I39" i="2"/>
  <c r="C41" i="2" l="1"/>
  <c r="H41" i="2"/>
  <c r="G41" i="2"/>
  <c r="E41" i="2"/>
  <c r="F41" i="2"/>
  <c r="D41" i="2"/>
  <c r="J39" i="2"/>
  <c r="K39" i="2" s="1"/>
  <c r="L39" i="2" s="1"/>
  <c r="I40" i="2"/>
  <c r="A42" i="2"/>
  <c r="E42" i="2" l="1"/>
  <c r="D42" i="2"/>
  <c r="C42" i="2"/>
  <c r="F42" i="2"/>
  <c r="H42" i="2"/>
  <c r="G42" i="2"/>
  <c r="I41" i="2"/>
  <c r="J40" i="2"/>
  <c r="K40" i="2" s="1"/>
  <c r="L40" i="2" s="1"/>
  <c r="A43" i="2"/>
  <c r="G43" i="2" l="1"/>
  <c r="F43" i="2"/>
  <c r="E43" i="2"/>
  <c r="D43" i="2"/>
  <c r="C43" i="2"/>
  <c r="H43" i="2"/>
  <c r="I42" i="2"/>
  <c r="A44" i="2"/>
  <c r="J41" i="2"/>
  <c r="K41" i="2" s="1"/>
  <c r="L41" i="2" s="1"/>
  <c r="H44" i="2" l="1"/>
  <c r="G44" i="2"/>
  <c r="F44" i="2"/>
  <c r="E44" i="2"/>
  <c r="D44" i="2"/>
  <c r="C44" i="2"/>
  <c r="I43" i="2"/>
  <c r="J42" i="2"/>
  <c r="K42" i="2" s="1"/>
  <c r="L42" i="2" s="1"/>
  <c r="A45" i="2"/>
  <c r="I44" i="2" l="1"/>
  <c r="J44" i="2" s="1"/>
  <c r="K44" i="2" s="1"/>
  <c r="C45" i="2"/>
  <c r="H45" i="2"/>
  <c r="G45" i="2"/>
  <c r="E45" i="2"/>
  <c r="F45" i="2"/>
  <c r="D45" i="2"/>
  <c r="A46" i="2"/>
  <c r="J43" i="2"/>
  <c r="K43" i="2" s="1"/>
  <c r="L43" i="2" s="1"/>
  <c r="E46" i="2" l="1"/>
  <c r="D46" i="2"/>
  <c r="C46" i="2"/>
  <c r="H46" i="2"/>
  <c r="G46" i="2"/>
  <c r="F46" i="2"/>
  <c r="L44" i="2"/>
  <c r="A47" i="2"/>
  <c r="I45" i="2"/>
  <c r="G47" i="2" l="1"/>
  <c r="F47" i="2"/>
  <c r="E47" i="2"/>
  <c r="D47" i="2"/>
  <c r="C47" i="2"/>
  <c r="H47" i="2"/>
  <c r="I46" i="2"/>
  <c r="J45" i="2"/>
  <c r="K45" i="2" s="1"/>
  <c r="L45" i="2" s="1"/>
  <c r="A48" i="2"/>
  <c r="H48" i="2" l="1"/>
  <c r="G48" i="2"/>
  <c r="F48" i="2"/>
  <c r="E48" i="2"/>
  <c r="D48" i="2"/>
  <c r="C48" i="2"/>
  <c r="A49" i="2"/>
  <c r="J46" i="2"/>
  <c r="K46" i="2" s="1"/>
  <c r="L46" i="2" s="1"/>
  <c r="I47" i="2"/>
  <c r="C49" i="2" l="1"/>
  <c r="H49" i="2"/>
  <c r="G49" i="2"/>
  <c r="E49" i="2"/>
  <c r="F49" i="2"/>
  <c r="D49" i="2"/>
  <c r="A50" i="2"/>
  <c r="J47" i="2"/>
  <c r="K47" i="2" s="1"/>
  <c r="L47" i="2" s="1"/>
  <c r="I48" i="2"/>
  <c r="I49" i="2" l="1"/>
  <c r="E50" i="2"/>
  <c r="D50" i="2"/>
  <c r="C50" i="2"/>
  <c r="G50" i="2"/>
  <c r="F50" i="2"/>
  <c r="H50" i="2"/>
  <c r="A51" i="2"/>
  <c r="J49" i="2"/>
  <c r="K49" i="2" s="1"/>
  <c r="J48" i="2"/>
  <c r="K48" i="2" s="1"/>
  <c r="L48" i="2" s="1"/>
  <c r="G51" i="2" l="1"/>
  <c r="F51" i="2"/>
  <c r="E51" i="2"/>
  <c r="D51" i="2"/>
  <c r="C51" i="2"/>
  <c r="H51" i="2"/>
  <c r="L49" i="2"/>
  <c r="I50" i="2"/>
  <c r="A52" i="2"/>
  <c r="H52" i="2" l="1"/>
  <c r="G52" i="2"/>
  <c r="F52" i="2"/>
  <c r="E52" i="2"/>
  <c r="C52" i="2"/>
  <c r="D52" i="2"/>
  <c r="I51" i="2"/>
  <c r="J50" i="2"/>
  <c r="K50" i="2" s="1"/>
  <c r="L50" i="2" s="1"/>
  <c r="A53" i="2"/>
  <c r="C53" i="2" l="1"/>
  <c r="H53" i="2"/>
  <c r="G53" i="2"/>
  <c r="D53" i="2"/>
  <c r="F53" i="2"/>
  <c r="E53" i="2"/>
  <c r="I52" i="2"/>
  <c r="A54" i="2"/>
  <c r="A55" i="2" s="1"/>
  <c r="A56" i="2" s="1"/>
  <c r="A57" i="2" s="1"/>
  <c r="J51" i="2"/>
  <c r="K51" i="2" s="1"/>
  <c r="L51" i="2" s="1"/>
  <c r="A58" i="2" l="1"/>
  <c r="H57" i="2"/>
  <c r="E57" i="2"/>
  <c r="D57" i="2"/>
  <c r="G57" i="2"/>
  <c r="F57" i="2"/>
  <c r="C57" i="2"/>
  <c r="E54" i="2"/>
  <c r="D54" i="2"/>
  <c r="C54" i="2"/>
  <c r="F54" i="2"/>
  <c r="H54" i="2"/>
  <c r="G54" i="2"/>
  <c r="I53" i="2"/>
  <c r="J52" i="2"/>
  <c r="K52" i="2" s="1"/>
  <c r="L52" i="2" s="1"/>
  <c r="I57" i="2" l="1"/>
  <c r="J57" i="2" s="1"/>
  <c r="K57" i="2" s="1"/>
  <c r="A59" i="2"/>
  <c r="C58" i="2"/>
  <c r="D58" i="2"/>
  <c r="E58" i="2"/>
  <c r="H58" i="2"/>
  <c r="G58" i="2"/>
  <c r="F58" i="2"/>
  <c r="G55" i="2"/>
  <c r="F55" i="2"/>
  <c r="E55" i="2"/>
  <c r="D55" i="2"/>
  <c r="C55" i="2"/>
  <c r="H55" i="2"/>
  <c r="I54" i="2"/>
  <c r="J53" i="2"/>
  <c r="K53" i="2" s="1"/>
  <c r="L53" i="2" s="1"/>
  <c r="I58" i="2" l="1"/>
  <c r="J58" i="2" s="1"/>
  <c r="K58" i="2" s="1"/>
  <c r="A60" i="2"/>
  <c r="H59" i="2"/>
  <c r="G59" i="2"/>
  <c r="D59" i="2"/>
  <c r="C59" i="2"/>
  <c r="F59" i="2"/>
  <c r="E59" i="2"/>
  <c r="H56" i="2"/>
  <c r="G56" i="2"/>
  <c r="F56" i="2"/>
  <c r="E56" i="2"/>
  <c r="C56" i="2"/>
  <c r="D56" i="2"/>
  <c r="I55" i="2"/>
  <c r="J54" i="2"/>
  <c r="K54" i="2" s="1"/>
  <c r="L54" i="2" s="1"/>
  <c r="I59" i="2" l="1"/>
  <c r="J59" i="2" s="1"/>
  <c r="K59" i="2" s="1"/>
  <c r="A61" i="2"/>
  <c r="H60" i="2"/>
  <c r="G60" i="2"/>
  <c r="F60" i="2"/>
  <c r="C60" i="2"/>
  <c r="E60" i="2"/>
  <c r="D60" i="2"/>
  <c r="I56" i="2"/>
  <c r="J56" i="2" s="1"/>
  <c r="K56" i="2" s="1"/>
  <c r="J55" i="2"/>
  <c r="K55" i="2" s="1"/>
  <c r="L55" i="2" s="1"/>
  <c r="L56" i="2" s="1"/>
  <c r="L57" i="2" s="1"/>
  <c r="L58" i="2" s="1"/>
  <c r="L59" i="2" s="1"/>
  <c r="I60" i="2" l="1"/>
  <c r="J60" i="2" s="1"/>
  <c r="K60" i="2" s="1"/>
  <c r="L60" i="2" s="1"/>
  <c r="A62" i="2"/>
  <c r="H61" i="2"/>
  <c r="C61" i="2"/>
  <c r="D61" i="2"/>
  <c r="G61" i="2"/>
  <c r="F61" i="2"/>
  <c r="E61" i="2"/>
  <c r="A63" i="2" l="1"/>
  <c r="H62" i="2"/>
  <c r="G62" i="2"/>
  <c r="D62" i="2"/>
  <c r="F62" i="2"/>
  <c r="C62" i="2"/>
  <c r="E62" i="2"/>
  <c r="I61" i="2"/>
  <c r="J61" i="2" s="1"/>
  <c r="K61" i="2" s="1"/>
  <c r="L61" i="2" s="1"/>
  <c r="I62" i="2" l="1"/>
  <c r="J62" i="2" s="1"/>
  <c r="K62" i="2" s="1"/>
  <c r="L62" i="2" s="1"/>
  <c r="A64" i="2"/>
  <c r="H63" i="2"/>
  <c r="G63" i="2"/>
  <c r="F63" i="2"/>
  <c r="D63" i="2"/>
  <c r="C63" i="2"/>
  <c r="E63" i="2"/>
  <c r="I63" i="2" l="1"/>
  <c r="J63" i="2" s="1"/>
  <c r="K63" i="2" s="1"/>
  <c r="L63" i="2" s="1"/>
  <c r="A65" i="2"/>
  <c r="D64" i="2"/>
  <c r="C64" i="2"/>
  <c r="H64" i="2"/>
  <c r="F64" i="2"/>
  <c r="E64" i="2"/>
  <c r="G64" i="2"/>
  <c r="A66" i="2" l="1"/>
  <c r="H65" i="2"/>
  <c r="G65" i="2"/>
  <c r="F65" i="2"/>
  <c r="E65" i="2"/>
  <c r="C65" i="2"/>
  <c r="D65" i="2"/>
  <c r="I64" i="2"/>
  <c r="J64" i="2" s="1"/>
  <c r="K64" i="2" s="1"/>
  <c r="L64" i="2" s="1"/>
  <c r="I65" i="2" l="1"/>
  <c r="J65" i="2" s="1"/>
  <c r="K65" i="2" s="1"/>
  <c r="L65" i="2" s="1"/>
  <c r="A67" i="2"/>
  <c r="C66" i="2"/>
  <c r="F66" i="2"/>
  <c r="G66" i="2"/>
  <c r="E66" i="2"/>
  <c r="H66" i="2"/>
  <c r="D66" i="2"/>
  <c r="L66" i="2" l="1"/>
  <c r="I66" i="2"/>
  <c r="J66" i="2" s="1"/>
  <c r="K66" i="2" s="1"/>
  <c r="A68" i="2"/>
  <c r="G67" i="2"/>
  <c r="H67" i="2"/>
  <c r="F67" i="2"/>
  <c r="D67" i="2"/>
  <c r="E67" i="2"/>
  <c r="C67" i="2"/>
  <c r="I67" i="2" s="1"/>
  <c r="J67" i="2" s="1"/>
  <c r="K67" i="2" s="1"/>
  <c r="L67" i="2" l="1"/>
  <c r="A69" i="2"/>
  <c r="G68" i="2"/>
  <c r="H68" i="2"/>
  <c r="F68" i="2"/>
  <c r="E68" i="2"/>
  <c r="D68" i="2"/>
  <c r="C68" i="2"/>
  <c r="I68" i="2" l="1"/>
  <c r="J68" i="2" s="1"/>
  <c r="K68" i="2" s="1"/>
  <c r="L68" i="2" s="1"/>
  <c r="A70" i="2"/>
  <c r="H69" i="2"/>
  <c r="D69" i="2"/>
  <c r="C69" i="2"/>
  <c r="G69" i="2"/>
  <c r="F69" i="2"/>
  <c r="E69" i="2"/>
  <c r="I69" i="2" l="1"/>
  <c r="J69" i="2" s="1"/>
  <c r="K69" i="2" s="1"/>
  <c r="L69" i="2" s="1"/>
  <c r="A71" i="2"/>
  <c r="F70" i="2"/>
  <c r="C70" i="2"/>
  <c r="E70" i="2"/>
  <c r="H70" i="2"/>
  <c r="G70" i="2"/>
  <c r="D70" i="2"/>
  <c r="I70" i="2" l="1"/>
  <c r="J70" i="2" s="1"/>
  <c r="K70" i="2" s="1"/>
  <c r="L70" i="2" s="1"/>
  <c r="A72" i="2"/>
  <c r="C71" i="2"/>
  <c r="G71" i="2"/>
  <c r="F71" i="2"/>
  <c r="D71" i="2"/>
  <c r="H71" i="2"/>
  <c r="E71" i="2"/>
  <c r="I71" i="2" l="1"/>
  <c r="J71" i="2" s="1"/>
  <c r="K71" i="2" s="1"/>
  <c r="L71" i="2" s="1"/>
  <c r="A73" i="2"/>
  <c r="H72" i="2"/>
  <c r="E72" i="2"/>
  <c r="D72" i="2"/>
  <c r="C72" i="2"/>
  <c r="G72" i="2"/>
  <c r="F72" i="2"/>
  <c r="A74" i="2" l="1"/>
  <c r="F73" i="2"/>
  <c r="H73" i="2"/>
  <c r="G73" i="2"/>
  <c r="D73" i="2"/>
  <c r="C73" i="2"/>
  <c r="E73" i="2"/>
  <c r="I72" i="2"/>
  <c r="J72" i="2" s="1"/>
  <c r="K72" i="2" s="1"/>
  <c r="L72" i="2" s="1"/>
  <c r="I73" i="2" l="1"/>
  <c r="J73" i="2" s="1"/>
  <c r="K73" i="2" s="1"/>
  <c r="L73" i="2" s="1"/>
  <c r="A75" i="2"/>
  <c r="D74" i="2"/>
  <c r="F74" i="2"/>
  <c r="C74" i="2"/>
  <c r="H74" i="2"/>
  <c r="E74" i="2"/>
  <c r="G74" i="2"/>
  <c r="I74" i="2" l="1"/>
  <c r="J74" i="2" s="1"/>
  <c r="K74" i="2" s="1"/>
  <c r="L74" i="2" s="1"/>
  <c r="A76" i="2"/>
  <c r="H75" i="2"/>
  <c r="G75" i="2"/>
  <c r="F75" i="2"/>
  <c r="C75" i="2"/>
  <c r="E75" i="2"/>
  <c r="D75" i="2"/>
  <c r="I75" i="2" l="1"/>
  <c r="J75" i="2" s="1"/>
  <c r="K75" i="2" s="1"/>
  <c r="L75" i="2" s="1"/>
  <c r="A77" i="2"/>
  <c r="H76" i="2"/>
  <c r="F76" i="2"/>
  <c r="C76" i="2"/>
  <c r="E76" i="2"/>
  <c r="D76" i="2"/>
  <c r="G76" i="2"/>
  <c r="I76" i="2" l="1"/>
  <c r="J76" i="2" s="1"/>
  <c r="K76" i="2" s="1"/>
  <c r="L76" i="2" s="1"/>
  <c r="A78" i="2"/>
  <c r="H77" i="2"/>
  <c r="E77" i="2"/>
  <c r="D77" i="2"/>
  <c r="G77" i="2"/>
  <c r="F77" i="2"/>
  <c r="C77" i="2"/>
  <c r="I77" i="2" l="1"/>
  <c r="J77" i="2" s="1"/>
  <c r="K77" i="2" s="1"/>
  <c r="L77" i="2" s="1"/>
  <c r="A79" i="2"/>
  <c r="C78" i="2"/>
  <c r="E78" i="2"/>
  <c r="G78" i="2"/>
  <c r="D78" i="2"/>
  <c r="F78" i="2"/>
  <c r="H78" i="2"/>
  <c r="I78" i="2" l="1"/>
  <c r="J78" i="2" s="1"/>
  <c r="K78" i="2" s="1"/>
  <c r="L78" i="2" s="1"/>
  <c r="A80" i="2"/>
  <c r="G79" i="2"/>
  <c r="H79" i="2"/>
  <c r="E79" i="2"/>
  <c r="C79" i="2"/>
  <c r="F79" i="2"/>
  <c r="D79" i="2"/>
  <c r="I79" i="2" l="1"/>
  <c r="J79" i="2" s="1"/>
  <c r="K79" i="2" s="1"/>
  <c r="L79" i="2" s="1"/>
  <c r="A81" i="2"/>
  <c r="C80" i="2"/>
  <c r="F80" i="2"/>
  <c r="D80" i="2"/>
  <c r="H80" i="2"/>
  <c r="E80" i="2"/>
  <c r="G80" i="2"/>
  <c r="I80" i="2" l="1"/>
  <c r="J80" i="2" s="1"/>
  <c r="K80" i="2" s="1"/>
  <c r="L80" i="2" s="1"/>
  <c r="A82" i="2"/>
  <c r="C81" i="2"/>
  <c r="F81" i="2"/>
  <c r="D81" i="2"/>
  <c r="H81" i="2"/>
  <c r="G81" i="2"/>
  <c r="E81" i="2"/>
  <c r="I81" i="2" l="1"/>
  <c r="J81" i="2" s="1"/>
  <c r="K81" i="2" s="1"/>
  <c r="L81" i="2" s="1"/>
  <c r="A83" i="2"/>
  <c r="E82" i="2"/>
  <c r="D82" i="2"/>
  <c r="F82" i="2"/>
  <c r="G82" i="2"/>
  <c r="C82" i="2"/>
  <c r="H82" i="2"/>
  <c r="A84" i="2" l="1"/>
  <c r="G83" i="2"/>
  <c r="F83" i="2"/>
  <c r="H83" i="2"/>
  <c r="E83" i="2"/>
  <c r="D83" i="2"/>
  <c r="C83" i="2"/>
  <c r="I83" i="2" s="1"/>
  <c r="J83" i="2" s="1"/>
  <c r="K83" i="2" s="1"/>
  <c r="I82" i="2"/>
  <c r="J82" i="2" s="1"/>
  <c r="K82" i="2" s="1"/>
  <c r="L82" i="2" s="1"/>
  <c r="L83" i="2" s="1"/>
  <c r="A85" i="2" l="1"/>
  <c r="H84" i="2"/>
  <c r="G84" i="2"/>
  <c r="C84" i="2"/>
  <c r="D84" i="2"/>
  <c r="F84" i="2"/>
  <c r="E84" i="2"/>
  <c r="I84" i="2" l="1"/>
  <c r="J84" i="2" s="1"/>
  <c r="K84" i="2" s="1"/>
  <c r="L84" i="2" s="1"/>
  <c r="A86" i="2"/>
  <c r="C85" i="2"/>
  <c r="H85" i="2"/>
  <c r="G85" i="2"/>
  <c r="D85" i="2"/>
  <c r="F85" i="2"/>
  <c r="E85" i="2"/>
  <c r="A87" i="2" l="1"/>
  <c r="E86" i="2"/>
  <c r="D86" i="2"/>
  <c r="F86" i="2"/>
  <c r="G86" i="2"/>
  <c r="C86" i="2"/>
  <c r="H86" i="2"/>
  <c r="I85" i="2"/>
  <c r="I86" i="2" l="1"/>
  <c r="J86" i="2" s="1"/>
  <c r="K86" i="2" s="1"/>
  <c r="A88" i="2"/>
  <c r="G87" i="2"/>
  <c r="H87" i="2"/>
  <c r="F87" i="2"/>
  <c r="E87" i="2"/>
  <c r="D87" i="2"/>
  <c r="C87" i="2"/>
  <c r="I87" i="2" s="1"/>
  <c r="J87" i="2" s="1"/>
  <c r="K87" i="2" s="1"/>
  <c r="J85" i="2"/>
  <c r="K85" i="2" s="1"/>
  <c r="L85" i="2" s="1"/>
  <c r="L86" i="2" s="1"/>
  <c r="L87" i="2" l="1"/>
  <c r="A89" i="2"/>
  <c r="H88" i="2"/>
  <c r="G88" i="2"/>
  <c r="C88" i="2"/>
  <c r="F88" i="2"/>
  <c r="E88" i="2"/>
  <c r="D88" i="2"/>
  <c r="J18" i="1"/>
  <c r="J29" i="1"/>
  <c r="J10" i="1"/>
  <c r="J35" i="1"/>
  <c r="J34" i="1"/>
  <c r="J36" i="1"/>
  <c r="J12" i="1"/>
  <c r="J20" i="1"/>
  <c r="J22" i="1"/>
  <c r="J25" i="1"/>
  <c r="J17" i="1"/>
  <c r="J32" i="1"/>
  <c r="J43" i="1"/>
  <c r="J15" i="1"/>
  <c r="J28" i="1"/>
  <c r="J37" i="1"/>
  <c r="J44" i="1"/>
  <c r="J21" i="1"/>
  <c r="J41" i="1"/>
  <c r="J23" i="1"/>
  <c r="J40" i="1"/>
  <c r="J16" i="1"/>
  <c r="J14" i="1"/>
  <c r="J26" i="1"/>
  <c r="J13" i="1"/>
  <c r="J27" i="1"/>
  <c r="J39" i="1"/>
  <c r="J24" i="1"/>
  <c r="J38" i="1"/>
  <c r="J19" i="1"/>
  <c r="J9" i="1"/>
  <c r="J11" i="1"/>
  <c r="J33" i="1"/>
  <c r="J31" i="1"/>
  <c r="J30" i="1"/>
  <c r="J42" i="1"/>
  <c r="I88" i="2" l="1"/>
  <c r="A90" i="2"/>
  <c r="H89" i="2"/>
  <c r="G89" i="2"/>
  <c r="D89" i="2"/>
  <c r="C89" i="2"/>
  <c r="F89" i="2"/>
  <c r="E89" i="2"/>
  <c r="J45" i="1"/>
  <c r="I89" i="2" l="1"/>
  <c r="J89" i="2" s="1"/>
  <c r="K89" i="2" s="1"/>
  <c r="A91" i="2"/>
  <c r="E90" i="2"/>
  <c r="D90" i="2"/>
  <c r="C90" i="2"/>
  <c r="H90" i="2"/>
  <c r="F90" i="2"/>
  <c r="G90" i="2"/>
  <c r="J88" i="2"/>
  <c r="K88" i="2" s="1"/>
  <c r="L88" i="2" s="1"/>
  <c r="L89" i="2" s="1"/>
  <c r="H46" i="1"/>
  <c r="I46" i="1"/>
  <c r="E46" i="1"/>
  <c r="C46" i="1"/>
  <c r="G46" i="1"/>
  <c r="D46" i="1"/>
  <c r="F46" i="1"/>
  <c r="J46" i="1"/>
  <c r="I90" i="2" l="1"/>
  <c r="A92" i="2"/>
  <c r="G91" i="2"/>
  <c r="D91" i="2"/>
  <c r="F91" i="2"/>
  <c r="E91" i="2"/>
  <c r="C91" i="2"/>
  <c r="H91" i="2"/>
  <c r="A93" i="2" l="1"/>
  <c r="H92" i="2"/>
  <c r="F92" i="2"/>
  <c r="C92" i="2"/>
  <c r="G92" i="2"/>
  <c r="E92" i="2"/>
  <c r="D92" i="2"/>
  <c r="I91" i="2"/>
  <c r="J91" i="2" s="1"/>
  <c r="K91" i="2" s="1"/>
  <c r="J90" i="2"/>
  <c r="K90" i="2" s="1"/>
  <c r="L90" i="2" s="1"/>
  <c r="L91" i="2" s="1"/>
  <c r="I92" i="2" l="1"/>
  <c r="J92" i="2" s="1"/>
  <c r="K92" i="2" s="1"/>
  <c r="L92" i="2" s="1"/>
  <c r="A94" i="2"/>
  <c r="C93" i="2"/>
  <c r="H93" i="2"/>
  <c r="E93" i="2"/>
  <c r="G93" i="2"/>
  <c r="F93" i="2"/>
  <c r="D93" i="2"/>
  <c r="A95" i="2" l="1"/>
  <c r="E94" i="2"/>
  <c r="D94" i="2"/>
  <c r="C94" i="2"/>
  <c r="H94" i="2"/>
  <c r="G94" i="2"/>
  <c r="F94" i="2"/>
  <c r="I93" i="2"/>
  <c r="J93" i="2" s="1"/>
  <c r="K93" i="2" s="1"/>
  <c r="L93" i="2" s="1"/>
  <c r="I94" i="2" l="1"/>
  <c r="J94" i="2" s="1"/>
  <c r="K94" i="2" s="1"/>
  <c r="L94" i="2" s="1"/>
  <c r="A96" i="2"/>
  <c r="G95" i="2"/>
  <c r="F95" i="2"/>
  <c r="E95" i="2"/>
  <c r="D95" i="2"/>
  <c r="C95" i="2"/>
  <c r="H95" i="2"/>
  <c r="A97" i="2" l="1"/>
  <c r="H96" i="2"/>
  <c r="G96" i="2"/>
  <c r="E96" i="2"/>
  <c r="C96" i="2"/>
  <c r="F96" i="2"/>
  <c r="D96" i="2"/>
  <c r="I95" i="2"/>
  <c r="J95" i="2" s="1"/>
  <c r="K95" i="2" s="1"/>
  <c r="L95" i="2" s="1"/>
  <c r="I96" i="2" l="1"/>
  <c r="J96" i="2" s="1"/>
  <c r="K96" i="2" s="1"/>
  <c r="L96" i="2" s="1"/>
  <c r="A98" i="2"/>
  <c r="C97" i="2"/>
  <c r="G97" i="2"/>
  <c r="F97" i="2"/>
  <c r="H97" i="2"/>
  <c r="D97" i="2"/>
  <c r="E97" i="2"/>
  <c r="I97" i="2" l="1"/>
  <c r="J97" i="2" s="1"/>
  <c r="K97" i="2" s="1"/>
  <c r="L97" i="2" s="1"/>
  <c r="A99" i="2"/>
  <c r="E98" i="2"/>
  <c r="H98" i="2"/>
  <c r="G98" i="2"/>
  <c r="D98" i="2"/>
  <c r="C98" i="2"/>
  <c r="F98" i="2"/>
  <c r="I98" i="2" l="1"/>
  <c r="J98" i="2" s="1"/>
  <c r="K98" i="2" s="1"/>
  <c r="L98" i="2" s="1"/>
  <c r="A100" i="2"/>
  <c r="F99" i="2"/>
  <c r="E99" i="2"/>
  <c r="D99" i="2"/>
  <c r="C99" i="2"/>
  <c r="H99" i="2"/>
  <c r="G99" i="2"/>
  <c r="I99" i="2" l="1"/>
  <c r="J99" i="2" s="1"/>
  <c r="K99" i="2" s="1"/>
  <c r="L99" i="2" s="1"/>
  <c r="A101" i="2"/>
  <c r="H100" i="2"/>
  <c r="F100" i="2"/>
  <c r="C100" i="2"/>
  <c r="G100" i="2"/>
  <c r="D100" i="2"/>
  <c r="E100" i="2"/>
  <c r="I100" i="2" l="1"/>
  <c r="J100" i="2" s="1"/>
  <c r="K100" i="2" s="1"/>
  <c r="L100" i="2" s="1"/>
  <c r="A102" i="2"/>
  <c r="C101" i="2"/>
  <c r="G101" i="2"/>
  <c r="H101" i="2"/>
  <c r="F101" i="2"/>
  <c r="E101" i="2"/>
  <c r="D101" i="2"/>
  <c r="I101" i="2" l="1"/>
  <c r="J101" i="2" s="1"/>
  <c r="K101" i="2" s="1"/>
  <c r="L101" i="2" s="1"/>
  <c r="A103" i="2"/>
  <c r="E102" i="2"/>
  <c r="D102" i="2"/>
  <c r="C102" i="2"/>
  <c r="G102" i="2"/>
  <c r="F102" i="2"/>
  <c r="H102" i="2"/>
  <c r="L102" i="2" l="1"/>
  <c r="I102" i="2"/>
  <c r="J102" i="2" s="1"/>
  <c r="K102" i="2" s="1"/>
  <c r="A104" i="2"/>
  <c r="G103" i="2"/>
  <c r="F103" i="2"/>
  <c r="D103" i="2"/>
  <c r="C103" i="2"/>
  <c r="E103" i="2"/>
  <c r="H103" i="2"/>
  <c r="I103" i="2" l="1"/>
  <c r="J103" i="2" s="1"/>
  <c r="K103" i="2" s="1"/>
  <c r="L103" i="2" s="1"/>
  <c r="H104" i="2"/>
  <c r="H105" i="2" s="1"/>
  <c r="G104" i="2"/>
  <c r="G105" i="2" s="1"/>
  <c r="F104" i="2"/>
  <c r="F105" i="2" s="1"/>
  <c r="D104" i="2"/>
  <c r="D105" i="2" s="1"/>
  <c r="C104" i="2"/>
  <c r="E104" i="2"/>
  <c r="E105" i="2" s="1"/>
  <c r="I104" i="2" l="1"/>
  <c r="C105" i="2"/>
  <c r="J104" i="2" l="1"/>
  <c r="J105" i="2" s="1"/>
  <c r="I105" i="2"/>
  <c r="K104" i="2" l="1"/>
  <c r="L104" i="2" s="1"/>
  <c r="J48" i="1" s="1"/>
  <c r="J49" i="1" s="1"/>
  <c r="K105" i="2"/>
</calcChain>
</file>

<file path=xl/sharedStrings.xml><?xml version="1.0" encoding="utf-8"?>
<sst xmlns="http://schemas.openxmlformats.org/spreadsheetml/2006/main" count="51" uniqueCount="47">
  <si>
    <t>Rua  Zodiaco, 87  Sala 07 – Santa  Lúcia - Belo Horizonte - MG
(31) 3654-6616 / (31) 99974-1241 /  (31) 98711-1139
rvr.engenharia@gmail.com / vinicius.rinaldi26@gmail.com</t>
  </si>
  <si>
    <t>RESUMO POR TIPO DE DESPESAS</t>
  </si>
  <si>
    <t>ADM</t>
  </si>
  <si>
    <t>DIV</t>
  </si>
  <si>
    <t>LOC</t>
  </si>
  <si>
    <t>MAT</t>
  </si>
  <si>
    <t>MO</t>
  </si>
  <si>
    <t>SERV</t>
  </si>
  <si>
    <t>TP</t>
  </si>
  <si>
    <t>DATA</t>
  </si>
  <si>
    <t>ADMINISTRATIVO</t>
  </si>
  <si>
    <t>DIVERSOS</t>
  </si>
  <si>
    <t>LOCAÇAO</t>
  </si>
  <si>
    <t>MATERIAL</t>
  </si>
  <si>
    <t>MÃO DE OBRA</t>
  </si>
  <si>
    <t>SERVIÇOS</t>
  </si>
  <si>
    <t>TARIFAS/TRIBUTOS PÚBLICAS</t>
  </si>
  <si>
    <t>TOTAL</t>
  </si>
  <si>
    <t>TOTAL GERAL</t>
  </si>
  <si>
    <t>RESUMO DAS DESPESAS</t>
  </si>
  <si>
    <t>Nº REL.</t>
  </si>
  <si>
    <t>1) DESPESAS COM COLABORADORES</t>
  </si>
  <si>
    <t>2) TRANSF. PROGR. - MATERIAIS, LOCAÇÕES E PREST. SERVIÇOS</t>
  </si>
  <si>
    <t>3) MATERIAIS, PREST DE SERVIÇOS, IMPOSTOS E OUTROS</t>
  </si>
  <si>
    <t>4) RESSARCIMENTOS E RESTITUIÇÕES</t>
  </si>
  <si>
    <t>5) DESPESAS PAGAS PELO CLIENTE</t>
  </si>
  <si>
    <t xml:space="preserve">6) PAGAMENTOS CAIXA DE OBRA </t>
  </si>
  <si>
    <t>SUBTOTAL</t>
  </si>
  <si>
    <t>7) ADM. OBRA</t>
  </si>
  <si>
    <t>ACUMULADO</t>
  </si>
  <si>
    <t>DATA_REL</t>
  </si>
  <si>
    <t>TP_DESP</t>
  </si>
  <si>
    <t>CNPJ_CPF</t>
  </si>
  <si>
    <t>NOME</t>
  </si>
  <si>
    <t>REFERÊNCIA</t>
  </si>
  <si>
    <t>VR_UNIT</t>
  </si>
  <si>
    <t>DIAS</t>
  </si>
  <si>
    <t>VALOR</t>
  </si>
  <si>
    <t>DT_VENCTO</t>
  </si>
  <si>
    <t>CATEGORIA</t>
  </si>
  <si>
    <t>DADOS_BANCARIOS</t>
  </si>
  <si>
    <t>OBSERVAÇÃO</t>
  </si>
  <si>
    <t>[NOME]</t>
  </si>
  <si>
    <t>[ENDEREÇO]</t>
  </si>
  <si>
    <t>Data Inicial:</t>
  </si>
  <si>
    <t>% Adm Obra: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</si>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</sst>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dd/mm/yy;@"/>
    <numFmt numFmtId="166" formatCode="00"/>
    <numFmt numFmtId="167" formatCode="0.0%"/>
    <numFmt numFmtId="168" formatCode="[&lt;=99999999999]\ 000\.000\.000\-00;\ 00\.000\.000\/0000\-00"/>
    <numFmt numFmtId="169" formatCode="mm/yyyy"/>
    <numFmt numFmtId="170" formatCode="#,##0_ ;\-#,##0\ 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double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/>
      <diagonal/>
    </border>
    <border>
      <left style="thin">
        <color theme="0" tint="-0.24994659260841701"/>
      </left>
      <right/>
      <top style="double">
        <color theme="0" tint="-0.24994659260841701"/>
      </top>
      <bottom/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theme="4" tint="0.39997558519241921"/>
      </right>
      <top/>
      <bottom style="double">
        <color auto="1"/>
      </bottom>
      <diagonal/>
    </border>
  </borders>
  <cellStyleXfs count="9">
    <xf numFmtId="0" fontId="0" fillId="0" borderId="0"/>
    <xf numFmtId="43" fontId="3" fillId="0" borderId="0"/>
    <xf numFmtId="0" fontId="5" fillId="0" borderId="0"/>
    <xf numFmtId="0" fontId="6" fillId="0" borderId="0"/>
    <xf numFmtId="0" fontId="5" fillId="0" borderId="0"/>
    <xf numFmtId="9" fontId="3" fillId="0" borderId="0"/>
    <xf numFmtId="0" fontId="5" fillId="0" borderId="0"/>
    <xf numFmtId="164" fontId="5" fillId="0" borderId="0"/>
    <xf numFmtId="43" fontId="3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2" xfId="1" applyFont="1" applyBorder="1" applyAlignment="1">
      <alignment vertical="center"/>
    </xf>
    <xf numFmtId="43" fontId="0" fillId="0" borderId="5" xfId="1" applyFont="1" applyBorder="1" applyAlignment="1">
      <alignment vertical="center"/>
    </xf>
    <xf numFmtId="43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43" fontId="4" fillId="0" borderId="11" xfId="1" applyFont="1" applyBorder="1" applyAlignment="1">
      <alignment vertical="center"/>
    </xf>
    <xf numFmtId="0" fontId="0" fillId="0" borderId="12" xfId="0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3" fontId="0" fillId="0" borderId="6" xfId="1" applyFont="1" applyBorder="1" applyAlignment="1">
      <alignment vertical="center"/>
    </xf>
    <xf numFmtId="43" fontId="0" fillId="0" borderId="3" xfId="1" applyFont="1" applyBorder="1" applyAlignment="1">
      <alignment vertical="center"/>
    </xf>
    <xf numFmtId="165" fontId="4" fillId="0" borderId="10" xfId="0" applyNumberFormat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8" fillId="0" borderId="0" xfId="0" applyNumberFormat="1" applyFont="1" applyAlignment="1">
      <alignment vertical="center"/>
    </xf>
    <xf numFmtId="0" fontId="0" fillId="0" borderId="7" xfId="0" applyBorder="1" applyAlignment="1">
      <alignment vertical="center" wrapText="1"/>
    </xf>
    <xf numFmtId="166" fontId="0" fillId="0" borderId="4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43" fontId="4" fillId="2" borderId="14" xfId="1" applyFont="1" applyFill="1" applyBorder="1" applyAlignment="1">
      <alignment vertical="center"/>
    </xf>
    <xf numFmtId="43" fontId="4" fillId="2" borderId="15" xfId="1" applyFont="1" applyFill="1" applyBorder="1" applyAlignment="1">
      <alignment vertical="center"/>
    </xf>
    <xf numFmtId="167" fontId="0" fillId="2" borderId="17" xfId="5" applyNumberFormat="1" applyFont="1" applyFill="1" applyBorder="1" applyAlignment="1">
      <alignment vertical="center"/>
    </xf>
    <xf numFmtId="9" fontId="4" fillId="2" borderId="18" xfId="5" applyFont="1" applyFill="1" applyBorder="1" applyAlignment="1">
      <alignment vertical="center"/>
    </xf>
    <xf numFmtId="165" fontId="4" fillId="0" borderId="7" xfId="0" applyNumberFormat="1" applyFont="1" applyBorder="1" applyAlignment="1">
      <alignment horizontal="centerContinuous" vertical="center"/>
    </xf>
    <xf numFmtId="165" fontId="0" fillId="0" borderId="1" xfId="0" applyNumberFormat="1" applyBorder="1" applyAlignment="1">
      <alignment horizontal="centerContinuous" vertical="center"/>
    </xf>
    <xf numFmtId="9" fontId="0" fillId="0" borderId="0" xfId="5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165" fontId="4" fillId="0" borderId="20" xfId="0" applyNumberFormat="1" applyFont="1" applyBorder="1" applyAlignment="1">
      <alignment horizontal="centerContinuous" vertical="center"/>
    </xf>
    <xf numFmtId="165" fontId="4" fillId="0" borderId="1" xfId="0" applyNumberFormat="1" applyFont="1" applyBorder="1" applyAlignment="1">
      <alignment horizontal="centerContinuous" vertical="center"/>
    </xf>
    <xf numFmtId="0" fontId="1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8" fontId="0" fillId="0" borderId="0" xfId="0" applyNumberFormat="1" applyAlignment="1">
      <alignment vertical="center"/>
    </xf>
    <xf numFmtId="169" fontId="0" fillId="0" borderId="1" xfId="0" applyNumberFormat="1" applyBorder="1" applyAlignment="1">
      <alignment horizontal="centerContinuous" vertical="center"/>
    </xf>
    <xf numFmtId="0" fontId="0" fillId="0" borderId="21" xfId="0" applyBorder="1" applyAlignment="1">
      <alignment vertical="center"/>
    </xf>
    <xf numFmtId="165" fontId="0" fillId="0" borderId="21" xfId="0" applyNumberFormat="1" applyBorder="1" applyAlignment="1">
      <alignment vertical="center"/>
    </xf>
    <xf numFmtId="168" fontId="0" fillId="0" borderId="21" xfId="0" applyNumberFormat="1" applyBorder="1" applyAlignment="1">
      <alignment vertical="center"/>
    </xf>
    <xf numFmtId="0" fontId="0" fillId="0" borderId="21" xfId="8" applyNumberFormat="1" applyFont="1" applyBorder="1" applyAlignment="1">
      <alignment vertical="center"/>
    </xf>
    <xf numFmtId="0" fontId="11" fillId="3" borderId="22" xfId="0" applyFont="1" applyFill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169" fontId="0" fillId="0" borderId="0" xfId="0" applyNumberFormat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168" fontId="0" fillId="0" borderId="0" xfId="0" applyNumberFormat="1" applyAlignment="1" applyProtection="1">
      <alignment vertical="center"/>
      <protection locked="0"/>
    </xf>
    <xf numFmtId="43" fontId="0" fillId="0" borderId="0" xfId="0" applyNumberFormat="1" applyAlignment="1" applyProtection="1">
      <alignment vertical="center"/>
      <protection locked="0"/>
    </xf>
    <xf numFmtId="14" fontId="0" fillId="0" borderId="0" xfId="0" applyNumberFormat="1" applyAlignment="1">
      <alignment vertical="center"/>
    </xf>
    <xf numFmtId="43" fontId="3" fillId="0" borderId="0" xfId="1"/>
    <xf numFmtId="0" fontId="11" fillId="3" borderId="0" xfId="8" applyNumberFormat="1" applyFont="1" applyFill="1" applyAlignment="1">
      <alignment vertical="center"/>
    </xf>
    <xf numFmtId="9" fontId="4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170" fontId="3" fillId="0" borderId="0" xfId="1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/>
    </xf>
    <xf numFmtId="14" fontId="4" fillId="2" borderId="10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16" xfId="0" applyBorder="1"/>
  </cellXfs>
  <cellStyles count="9">
    <cellStyle name="Hiperlink 2" xfId="3" xr:uid="{00000000-0005-0000-0000-000003000000}"/>
    <cellStyle name="Moeda 2" xfId="7" xr:uid="{00000000-0005-0000-0000-000007000000}"/>
    <cellStyle name="Normal" xfId="0" builtinId="0"/>
    <cellStyle name="Normal 2" xfId="2" xr:uid="{00000000-0005-0000-0000-000002000000}"/>
    <cellStyle name="Normal 2 2" xfId="4" xr:uid="{00000000-0005-0000-0000-000004000000}"/>
    <cellStyle name="Normal 3" xfId="6" xr:uid="{00000000-0005-0000-0000-000006000000}"/>
    <cellStyle name="Porcentagem" xfId="5" builtinId="5"/>
    <cellStyle name="Vírgula" xfId="1" builtinId="3"/>
    <cellStyle name="Vírgula 2" xfId="8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93980</xdr:colOff>
      <xdr:row>0</xdr:row>
      <xdr:rowOff>81280</xdr:rowOff>
    </xdr:from>
    <xdr:ext cx="2449285" cy="748393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" y="81280"/>
          <a:ext cx="2449285" cy="748393"/>
        </a:xfrm>
        <a:prstGeom prst="rect">
          <a:avLst/>
        </a:prstGeom>
        <a:ln>
          <a:noFill/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93980</xdr:colOff>
      <xdr:row>0</xdr:row>
      <xdr:rowOff>81280</xdr:rowOff>
    </xdr:from>
    <xdr:ext cx="2449285" cy="748393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" y="81280"/>
          <a:ext cx="2449285" cy="748393"/>
        </a:xfrm>
        <a:prstGeom prst="rect">
          <a:avLst/>
        </a:prstGeom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tabSelected="1" zoomScaleNormal="100" workbookViewId="0"/>
  </sheetViews>
  <sheetFormatPr defaultColWidth="11.125" defaultRowHeight="15.75" x14ac:dyDescent="0.25"/>
  <cols>
    <col min="1" max="1" width="12.125" style="49" customWidth="1"/>
    <col min="2" max="2" width="11" style="1" bestFit="1" customWidth="1"/>
    <col min="3" max="3" width="18.375" style="47" bestFit="1" customWidth="1"/>
    <col min="4" max="4" width="44.5" style="50" bestFit="1" customWidth="1"/>
    <col min="5" max="5" width="41.5" style="40" bestFit="1" customWidth="1"/>
    <col min="6" max="6" width="10.875" style="40" customWidth="1"/>
    <col min="7" max="7" width="12.5" style="57" bestFit="1" customWidth="1"/>
    <col min="8" max="8" width="7.625" style="51" bestFit="1" customWidth="1"/>
    <col min="9" max="9" width="11.5" style="53" bestFit="1" customWidth="1"/>
    <col min="10" max="10" width="11.875" style="52" bestFit="1" customWidth="1"/>
    <col min="11" max="11" width="13.375" style="52" bestFit="1" customWidth="1"/>
    <col min="12" max="12" width="41.375" style="1" bestFit="1" customWidth="1"/>
    <col min="13" max="13" width="20.5" style="47" customWidth="1"/>
    <col min="14" max="14" width="15" style="47" customWidth="1"/>
    <col min="15" max="15" width="9.625" style="47" customWidth="1"/>
    <col min="16" max="16" width="18.625" style="48" bestFit="1" customWidth="1"/>
    <col min="17" max="17" width="13.125" style="1" bestFit="1" customWidth="1"/>
    <col min="18" max="18" width="9.375" style="47" customWidth="1"/>
    <col min="19" max="16384" width="11.125" style="1"/>
  </cols>
  <sheetData>
    <row r="1" spans="1:17" ht="24" customHeight="1" thickBot="1" x14ac:dyDescent="0.3">
      <c r="A1" s="43" t="s">
        <v>30</v>
      </c>
      <c r="B1" s="42" t="s">
        <v>31</v>
      </c>
      <c r="C1" s="44" t="s">
        <v>32</v>
      </c>
      <c r="D1" s="42" t="s">
        <v>33</v>
      </c>
      <c r="E1" s="42" t="s">
        <v>34</v>
      </c>
      <c r="F1" s="42" t="s">
        <v>46</v>
      </c>
      <c r="G1" s="42" t="s">
        <v>35</v>
      </c>
      <c r="H1" s="42" t="s">
        <v>36</v>
      </c>
      <c r="I1" s="42" t="s">
        <v>37</v>
      </c>
      <c r="J1" s="42" t="s">
        <v>38</v>
      </c>
      <c r="K1" s="45" t="s">
        <v>39</v>
      </c>
      <c r="L1" s="46" t="s">
        <v>40</v>
      </c>
      <c r="M1" s="42" t="s">
        <v>41</v>
      </c>
      <c r="N1" s="54"/>
      <c r="O1" s="54"/>
      <c r="P1" s="54"/>
      <c r="Q1" s="54"/>
    </row>
    <row r="2" spans="1:17" ht="16.5" thickTop="1" x14ac:dyDescent="0.25"/>
  </sheetData>
  <autoFilter ref="A1:O1" xr:uid="{00000000-0009-0000-0000-000002000000}"/>
  <conditionalFormatting sqref="P2:P1048576">
    <cfRule type="duplicateValues" dxfId="1" priority="17"/>
    <cfRule type="duplicateValues" dxfId="0" priority="18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T107"/>
  <sheetViews>
    <sheetView showGridLines="0" zoomScale="80" zoomScaleNormal="80" workbookViewId="0">
      <selection activeCell="A9" sqref="A9"/>
    </sheetView>
  </sheetViews>
  <sheetFormatPr defaultColWidth="8.875" defaultRowHeight="15.75" x14ac:dyDescent="0.25"/>
  <cols>
    <col min="1" max="1" width="13.875" style="1" customWidth="1"/>
    <col min="2" max="2" width="4.875" style="1" customWidth="1"/>
    <col min="3" max="11" width="15.875" style="1" customWidth="1"/>
    <col min="12" max="12" width="16.875" style="1" customWidth="1"/>
    <col min="13" max="74" width="8.875" style="1" customWidth="1"/>
    <col min="75" max="16384" width="8.875" style="1"/>
  </cols>
  <sheetData>
    <row r="1" spans="1:20" ht="69.95" customHeight="1" x14ac:dyDescent="0.25">
      <c r="D1" s="2"/>
      <c r="E1" s="2"/>
      <c r="G1" s="59" t="s">
        <v>0</v>
      </c>
      <c r="H1" s="60"/>
      <c r="I1" s="60"/>
      <c r="J1" s="60"/>
      <c r="K1" s="60"/>
      <c r="L1" s="60"/>
      <c r="N1" s="2"/>
      <c r="O1" s="2"/>
      <c r="P1" s="59"/>
      <c r="Q1" s="60"/>
      <c r="R1" s="60"/>
      <c r="S1" s="60"/>
      <c r="T1" s="60"/>
    </row>
    <row r="2" spans="1:20" ht="35.1" customHeight="1" x14ac:dyDescent="0.25">
      <c r="D2" s="2"/>
      <c r="E2" s="2"/>
      <c r="N2" s="2"/>
      <c r="O2" s="2"/>
      <c r="Q2" s="2"/>
    </row>
    <row r="3" spans="1:20" ht="35.1" customHeight="1" x14ac:dyDescent="0.25">
      <c r="A3" s="33" t="s">
        <v>42</v>
      </c>
      <c r="B3" s="5"/>
      <c r="D3" s="2"/>
      <c r="E3" s="2"/>
      <c r="K3" s="56" t="s">
        <v>44</v>
      </c>
      <c r="L3" s="49"/>
      <c r="M3" s="5"/>
      <c r="N3" s="2"/>
      <c r="O3" s="2"/>
      <c r="Q3" s="2"/>
    </row>
    <row r="4" spans="1:20" ht="18.95" customHeight="1" x14ac:dyDescent="0.25">
      <c r="A4" s="3" t="s">
        <v>43</v>
      </c>
      <c r="B4" s="3"/>
      <c r="D4" s="2"/>
      <c r="E4" s="2"/>
      <c r="K4" s="56" t="s">
        <v>45</v>
      </c>
      <c r="L4" s="55"/>
      <c r="M4" s="3"/>
      <c r="N4" s="2"/>
      <c r="O4" s="2"/>
      <c r="Q4" s="2"/>
    </row>
    <row r="5" spans="1:20" ht="30" customHeight="1" x14ac:dyDescent="0.25"/>
    <row r="6" spans="1:20" ht="50.1" customHeight="1" thickBot="1" x14ac:dyDescent="0.3">
      <c r="A6" s="4" t="s">
        <v>19</v>
      </c>
      <c r="B6" s="4"/>
      <c r="N6" s="39"/>
    </row>
    <row r="7" spans="1:20" ht="17.100000000000001" hidden="1" customHeight="1" thickBot="1" x14ac:dyDescent="0.3"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</row>
    <row r="8" spans="1:20" ht="81" customHeight="1" thickBot="1" x14ac:dyDescent="0.3">
      <c r="A8" s="10" t="s">
        <v>9</v>
      </c>
      <c r="B8" s="23" t="s">
        <v>20</v>
      </c>
      <c r="C8" s="11" t="s">
        <v>21</v>
      </c>
      <c r="D8" s="11" t="s">
        <v>22</v>
      </c>
      <c r="E8" s="11" t="s">
        <v>23</v>
      </c>
      <c r="F8" s="11" t="s">
        <v>24</v>
      </c>
      <c r="G8" s="11" t="s">
        <v>25</v>
      </c>
      <c r="H8" s="11" t="s">
        <v>26</v>
      </c>
      <c r="I8" s="38" t="s">
        <v>27</v>
      </c>
      <c r="J8" s="38" t="s">
        <v>28</v>
      </c>
      <c r="K8" s="12" t="s">
        <v>17</v>
      </c>
      <c r="L8" s="13" t="s">
        <v>29</v>
      </c>
    </row>
    <row r="9" spans="1:20" ht="24" customHeight="1" thickTop="1" x14ac:dyDescent="0.25">
      <c r="A9" s="58">
        <f>Dados!$A$2</f>
        <v>0</v>
      </c>
      <c r="B9" s="24">
        <v>1</v>
      </c>
      <c r="C9" s="8">
        <f>SUMIFS(Dados!$I$1:$I$1993,Dados!$B$1:$B$1993,C$7,Dados!$A$1:$A$1993,$A9)</f>
        <v>0</v>
      </c>
      <c r="D9" s="8">
        <f>SUMIFS(Dados!$I$1:$I$1993,Dados!$B$1:$B$1993,D$7,Dados!$A$1:$A$1993,$A9)</f>
        <v>0</v>
      </c>
      <c r="E9" s="8">
        <f>SUMIFS(Dados!$I$1:$I$1993,Dados!$B$1:$B$1993,E$7,Dados!$A$1:$A$1993,$A9)</f>
        <v>0</v>
      </c>
      <c r="F9" s="8">
        <f>SUMIFS(Dados!$I$1:$I$1993,Dados!$B$1:$B$1993,F$7,Dados!$A$1:$A$1993,$A9)</f>
        <v>0</v>
      </c>
      <c r="G9" s="8">
        <f>SUMIFS(Dados!$I$1:$I$1993,Dados!$B$1:$B$1993,G$7,Dados!$A$1:$A$1993,$A9)</f>
        <v>0</v>
      </c>
      <c r="H9" s="8">
        <f>SUMIFS(Dados!$I$1:$I$1993,Dados!$B$1:$B$1993,H$7,Dados!$A$1:$A$1993,$A9)</f>
        <v>0</v>
      </c>
      <c r="I9" s="8">
        <f t="shared" ref="I9:I40" si="0">SUM(C9:H9)</f>
        <v>0</v>
      </c>
      <c r="J9" s="8">
        <f t="shared" ref="J9:J40" si="1">ROUND(I9*$L$4,2)</f>
        <v>0</v>
      </c>
      <c r="K9" s="8">
        <f t="shared" ref="K9:K40" si="2">SUM(I9:J9)</f>
        <v>0</v>
      </c>
      <c r="L9" s="9">
        <f>K9</f>
        <v>0</v>
      </c>
      <c r="N9" s="35"/>
    </row>
    <row r="10" spans="1:20" ht="24" customHeight="1" x14ac:dyDescent="0.25">
      <c r="A10" s="58">
        <f t="shared" ref="A10:A41" si="3">IF(DAY(A9)=20,DATE(YEAR(A9),MONTH(A9)+1,5),DATE(YEAR(A9),MONTH(A9),20))</f>
        <v>20</v>
      </c>
      <c r="B10" s="25">
        <f t="shared" ref="B10:B41" si="4">B9+1</f>
        <v>2</v>
      </c>
      <c r="C10" s="8">
        <f>SUMIFS(Dados!$I$1:$I$1993,Dados!$B$1:$B$1993,C$7,Dados!$A$1:$A$1993,$A10)</f>
        <v>0</v>
      </c>
      <c r="D10" s="8">
        <f>SUMIFS(Dados!$I$1:$I$1993,Dados!$B$1:$B$1993,D$7,Dados!$A$1:$A$1993,$A10)</f>
        <v>0</v>
      </c>
      <c r="E10" s="8">
        <f>SUMIFS(Dados!$I$1:$I$1993,Dados!$B$1:$B$1993,E$7,Dados!$A$1:$A$1993,$A10)</f>
        <v>0</v>
      </c>
      <c r="F10" s="8">
        <f>SUMIFS(Dados!$I$1:$I$1993,Dados!$B$1:$B$1993,F$7,Dados!$A$1:$A$1993,$A10)</f>
        <v>0</v>
      </c>
      <c r="G10" s="8">
        <f>SUMIFS(Dados!$I$1:$I$1993,Dados!$B$1:$B$1993,G$7,Dados!$A$1:$A$1993,$A10)</f>
        <v>0</v>
      </c>
      <c r="H10" s="8">
        <f>SUMIFS(Dados!$I$1:$I$1993,Dados!$B$1:$B$1993,H$7,Dados!$A$1:$A$1993,$A10)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9">
        <f t="shared" ref="L10:L41" si="5">K10+L9</f>
        <v>0</v>
      </c>
      <c r="N10" s="35"/>
    </row>
    <row r="11" spans="1:20" ht="24" customHeight="1" x14ac:dyDescent="0.25">
      <c r="A11" s="58">
        <f t="shared" si="3"/>
        <v>36</v>
      </c>
      <c r="B11" s="25">
        <f t="shared" si="4"/>
        <v>3</v>
      </c>
      <c r="C11" s="8">
        <f>SUMIFS(Dados!$I$1:$I$1993,Dados!$B$1:$B$1993,C$7,Dados!$A$1:$A$1993,$A11)</f>
        <v>0</v>
      </c>
      <c r="D11" s="8">
        <f>SUMIFS(Dados!$I$1:$I$1993,Dados!$B$1:$B$1993,D$7,Dados!$A$1:$A$1993,$A11)</f>
        <v>0</v>
      </c>
      <c r="E11" s="8">
        <f>SUMIFS(Dados!$I$1:$I$1993,Dados!$B$1:$B$1993,E$7,Dados!$A$1:$A$1993,$A11)</f>
        <v>0</v>
      </c>
      <c r="F11" s="8">
        <f>SUMIFS(Dados!$I$1:$I$1993,Dados!$B$1:$B$1993,F$7,Dados!$A$1:$A$1993,$A11)</f>
        <v>0</v>
      </c>
      <c r="G11" s="8">
        <f>SUMIFS(Dados!$I$1:$I$1993,Dados!$B$1:$B$1993,G$7,Dados!$A$1:$A$1993,$A11)</f>
        <v>0</v>
      </c>
      <c r="H11" s="8">
        <f>SUMIFS(Dados!$I$1:$I$1993,Dados!$B$1:$B$1993,H$7,Dados!$A$1:$A$1993,$A11)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9">
        <f t="shared" si="5"/>
        <v>0</v>
      </c>
      <c r="N11" s="35"/>
    </row>
    <row r="12" spans="1:20" ht="24" customHeight="1" x14ac:dyDescent="0.25">
      <c r="A12" s="58">
        <f t="shared" si="3"/>
        <v>51</v>
      </c>
      <c r="B12" s="25">
        <f t="shared" si="4"/>
        <v>4</v>
      </c>
      <c r="C12" s="8">
        <f>SUMIFS(Dados!$I$1:$I$1993,Dados!$B$1:$B$1993,C$7,Dados!$A$1:$A$1993,$A12)</f>
        <v>0</v>
      </c>
      <c r="D12" s="8">
        <f>SUMIFS(Dados!$I$1:$I$1993,Dados!$B$1:$B$1993,D$7,Dados!$A$1:$A$1993,$A12)</f>
        <v>0</v>
      </c>
      <c r="E12" s="8">
        <f>SUMIFS(Dados!$I$1:$I$1993,Dados!$B$1:$B$1993,E$7,Dados!$A$1:$A$1993,$A12)</f>
        <v>0</v>
      </c>
      <c r="F12" s="8">
        <f>SUMIFS(Dados!$I$1:$I$1993,Dados!$B$1:$B$1993,F$7,Dados!$A$1:$A$1993,$A12)</f>
        <v>0</v>
      </c>
      <c r="G12" s="8">
        <f>SUMIFS(Dados!$I$1:$I$1993,Dados!$B$1:$B$1993,G$7,Dados!$A$1:$A$1993,$A12)</f>
        <v>0</v>
      </c>
      <c r="H12" s="8">
        <f>SUMIFS(Dados!$I$1:$I$1993,Dados!$B$1:$B$1993,H$7,Dados!$A$1:$A$1993,$A12)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9">
        <f t="shared" si="5"/>
        <v>0</v>
      </c>
      <c r="N12" s="35"/>
    </row>
    <row r="13" spans="1:20" ht="24" customHeight="1" x14ac:dyDescent="0.25">
      <c r="A13" s="58">
        <f t="shared" si="3"/>
        <v>65</v>
      </c>
      <c r="B13" s="25">
        <f t="shared" si="4"/>
        <v>5</v>
      </c>
      <c r="C13" s="8">
        <f>SUMIFS(Dados!$I$1:$I$1993,Dados!$B$1:$B$1993,C$7,Dados!$A$1:$A$1993,$A13)</f>
        <v>0</v>
      </c>
      <c r="D13" s="8">
        <f>SUMIFS(Dados!$I$1:$I$1993,Dados!$B$1:$B$1993,D$7,Dados!$A$1:$A$1993,$A13)</f>
        <v>0</v>
      </c>
      <c r="E13" s="8">
        <f>SUMIFS(Dados!$I$1:$I$1993,Dados!$B$1:$B$1993,E$7,Dados!$A$1:$A$1993,$A13)</f>
        <v>0</v>
      </c>
      <c r="F13" s="8">
        <f>SUMIFS(Dados!$I$1:$I$1993,Dados!$B$1:$B$1993,F$7,Dados!$A$1:$A$1993,$A13)</f>
        <v>0</v>
      </c>
      <c r="G13" s="8">
        <f>SUMIFS(Dados!$I$1:$I$1993,Dados!$B$1:$B$1993,G$7,Dados!$A$1:$A$1993,$A13)</f>
        <v>0</v>
      </c>
      <c r="H13" s="8">
        <f>SUMIFS(Dados!$I$1:$I$1993,Dados!$B$1:$B$1993,H$7,Dados!$A$1:$A$1993,$A13)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9">
        <f t="shared" si="5"/>
        <v>0</v>
      </c>
      <c r="N13" s="35"/>
    </row>
    <row r="14" spans="1:20" ht="24" customHeight="1" x14ac:dyDescent="0.25">
      <c r="A14" s="58">
        <f t="shared" si="3"/>
        <v>80</v>
      </c>
      <c r="B14" s="25">
        <f t="shared" si="4"/>
        <v>6</v>
      </c>
      <c r="C14" s="8">
        <f>SUMIFS(Dados!$I$1:$I$1993,Dados!$B$1:$B$1993,C$7,Dados!$A$1:$A$1993,$A14)</f>
        <v>0</v>
      </c>
      <c r="D14" s="8">
        <f>SUMIFS(Dados!$I$1:$I$1993,Dados!$B$1:$B$1993,D$7,Dados!$A$1:$A$1993,$A14)</f>
        <v>0</v>
      </c>
      <c r="E14" s="8">
        <f>SUMIFS(Dados!$I$1:$I$1993,Dados!$B$1:$B$1993,E$7,Dados!$A$1:$A$1993,$A14)</f>
        <v>0</v>
      </c>
      <c r="F14" s="8">
        <f>SUMIFS(Dados!$I$1:$I$1993,Dados!$B$1:$B$1993,F$7,Dados!$A$1:$A$1993,$A14)</f>
        <v>0</v>
      </c>
      <c r="G14" s="8">
        <f>SUMIFS(Dados!$I$1:$I$1993,Dados!$B$1:$B$1993,G$7,Dados!$A$1:$A$1993,$A14)</f>
        <v>0</v>
      </c>
      <c r="H14" s="8">
        <f>SUMIFS(Dados!$I$1:$I$1993,Dados!$B$1:$B$1993,H$7,Dados!$A$1:$A$1993,$A14)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9">
        <f t="shared" si="5"/>
        <v>0</v>
      </c>
      <c r="N14" s="35"/>
    </row>
    <row r="15" spans="1:20" ht="24" customHeight="1" x14ac:dyDescent="0.25">
      <c r="A15" s="58">
        <f t="shared" si="3"/>
        <v>96</v>
      </c>
      <c r="B15" s="25">
        <f t="shared" si="4"/>
        <v>7</v>
      </c>
      <c r="C15" s="8">
        <f>SUMIFS(Dados!$I$1:$I$1993,Dados!$B$1:$B$1993,C$7,Dados!$A$1:$A$1993,$A15)</f>
        <v>0</v>
      </c>
      <c r="D15" s="8">
        <f>SUMIFS(Dados!$I$1:$I$1993,Dados!$B$1:$B$1993,D$7,Dados!$A$1:$A$1993,$A15)</f>
        <v>0</v>
      </c>
      <c r="E15" s="8">
        <f>SUMIFS(Dados!$I$1:$I$1993,Dados!$B$1:$B$1993,E$7,Dados!$A$1:$A$1993,$A15)</f>
        <v>0</v>
      </c>
      <c r="F15" s="8">
        <f>SUMIFS(Dados!$I$1:$I$1993,Dados!$B$1:$B$1993,F$7,Dados!$A$1:$A$1993,$A15)</f>
        <v>0</v>
      </c>
      <c r="G15" s="8">
        <f>SUMIFS(Dados!$I$1:$I$1993,Dados!$B$1:$B$1993,G$7,Dados!$A$1:$A$1993,$A15)</f>
        <v>0</v>
      </c>
      <c r="H15" s="8">
        <f>SUMIFS(Dados!$I$1:$I$1993,Dados!$B$1:$B$1993,H$7,Dados!$A$1:$A$1993,$A15)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9">
        <f t="shared" si="5"/>
        <v>0</v>
      </c>
      <c r="N15" s="35"/>
    </row>
    <row r="16" spans="1:20" ht="24" customHeight="1" x14ac:dyDescent="0.25">
      <c r="A16" s="58">
        <f t="shared" si="3"/>
        <v>111</v>
      </c>
      <c r="B16" s="25">
        <f t="shared" si="4"/>
        <v>8</v>
      </c>
      <c r="C16" s="8">
        <f>SUMIFS(Dados!$I$1:$I$1993,Dados!$B$1:$B$1993,C$7,Dados!$A$1:$A$1993,$A16)</f>
        <v>0</v>
      </c>
      <c r="D16" s="8">
        <f>SUMIFS(Dados!$I$1:$I$1993,Dados!$B$1:$B$1993,D$7,Dados!$A$1:$A$1993,$A16)</f>
        <v>0</v>
      </c>
      <c r="E16" s="8">
        <f>SUMIFS(Dados!$I$1:$I$1993,Dados!$B$1:$B$1993,E$7,Dados!$A$1:$A$1993,$A16)</f>
        <v>0</v>
      </c>
      <c r="F16" s="8">
        <f>SUMIFS(Dados!$I$1:$I$1993,Dados!$B$1:$B$1993,F$7,Dados!$A$1:$A$1993,$A16)</f>
        <v>0</v>
      </c>
      <c r="G16" s="8">
        <f>SUMIFS(Dados!$I$1:$I$1993,Dados!$B$1:$B$1993,G$7,Dados!$A$1:$A$1993,$A16)</f>
        <v>0</v>
      </c>
      <c r="H16" s="8">
        <f>SUMIFS(Dados!$I$1:$I$1993,Dados!$B$1:$B$1993,H$7,Dados!$A$1:$A$1993,$A16)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9">
        <f t="shared" si="5"/>
        <v>0</v>
      </c>
      <c r="N16" s="35"/>
    </row>
    <row r="17" spans="1:14" ht="24" customHeight="1" x14ac:dyDescent="0.25">
      <c r="A17" s="58">
        <f t="shared" si="3"/>
        <v>126</v>
      </c>
      <c r="B17" s="25">
        <f t="shared" si="4"/>
        <v>9</v>
      </c>
      <c r="C17" s="8">
        <f>SUMIFS(Dados!$I$1:$I$1993,Dados!$B$1:$B$1993,C$7,Dados!$A$1:$A$1993,$A17)</f>
        <v>0</v>
      </c>
      <c r="D17" s="8">
        <f>SUMIFS(Dados!$I$1:$I$1993,Dados!$B$1:$B$1993,D$7,Dados!$A$1:$A$1993,$A17)</f>
        <v>0</v>
      </c>
      <c r="E17" s="8">
        <f>SUMIFS(Dados!$I$1:$I$1993,Dados!$B$1:$B$1993,E$7,Dados!$A$1:$A$1993,$A17)</f>
        <v>0</v>
      </c>
      <c r="F17" s="8">
        <f>SUMIFS(Dados!$I$1:$I$1993,Dados!$B$1:$B$1993,F$7,Dados!$A$1:$A$1993,$A17)</f>
        <v>0</v>
      </c>
      <c r="G17" s="8">
        <f>SUMIFS(Dados!$I$1:$I$1993,Dados!$B$1:$B$1993,G$7,Dados!$A$1:$A$1993,$A17)</f>
        <v>0</v>
      </c>
      <c r="H17" s="8">
        <f>SUMIFS(Dados!$I$1:$I$1993,Dados!$B$1:$B$1993,H$7,Dados!$A$1:$A$1993,$A17)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9">
        <f t="shared" si="5"/>
        <v>0</v>
      </c>
      <c r="N17" s="35"/>
    </row>
    <row r="18" spans="1:14" ht="24" customHeight="1" x14ac:dyDescent="0.25">
      <c r="A18" s="58">
        <f t="shared" si="3"/>
        <v>141</v>
      </c>
      <c r="B18" s="25">
        <f t="shared" si="4"/>
        <v>10</v>
      </c>
      <c r="C18" s="8">
        <f>SUMIFS(Dados!$I$1:$I$1993,Dados!$B$1:$B$1993,C$7,Dados!$A$1:$A$1993,$A18)</f>
        <v>0</v>
      </c>
      <c r="D18" s="8">
        <f>SUMIFS(Dados!$I$1:$I$1993,Dados!$B$1:$B$1993,D$7,Dados!$A$1:$A$1993,$A18)</f>
        <v>0</v>
      </c>
      <c r="E18" s="8">
        <f>SUMIFS(Dados!$I$1:$I$1993,Dados!$B$1:$B$1993,E$7,Dados!$A$1:$A$1993,$A18)</f>
        <v>0</v>
      </c>
      <c r="F18" s="8">
        <f>SUMIFS(Dados!$I$1:$I$1993,Dados!$B$1:$B$1993,F$7,Dados!$A$1:$A$1993,$A18)</f>
        <v>0</v>
      </c>
      <c r="G18" s="8">
        <f>SUMIFS(Dados!$I$1:$I$1993,Dados!$B$1:$B$1993,G$7,Dados!$A$1:$A$1993,$A18)</f>
        <v>0</v>
      </c>
      <c r="H18" s="8">
        <f>SUMIFS(Dados!$I$1:$I$1993,Dados!$B$1:$B$1993,H$7,Dados!$A$1:$A$1993,$A18)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9">
        <f t="shared" si="5"/>
        <v>0</v>
      </c>
      <c r="N18" s="35"/>
    </row>
    <row r="19" spans="1:14" ht="24" customHeight="1" x14ac:dyDescent="0.25">
      <c r="A19" s="58">
        <f t="shared" si="3"/>
        <v>157</v>
      </c>
      <c r="B19" s="25">
        <f t="shared" si="4"/>
        <v>11</v>
      </c>
      <c r="C19" s="8">
        <f>SUMIFS(Dados!$I$1:$I$1993,Dados!$B$1:$B$1993,C$7,Dados!$A$1:$A$1993,$A19)</f>
        <v>0</v>
      </c>
      <c r="D19" s="8">
        <f>SUMIFS(Dados!$I$1:$I$1993,Dados!$B$1:$B$1993,D$7,Dados!$A$1:$A$1993,$A19)</f>
        <v>0</v>
      </c>
      <c r="E19" s="8">
        <f>SUMIFS(Dados!$I$1:$I$1993,Dados!$B$1:$B$1993,E$7,Dados!$A$1:$A$1993,$A19)</f>
        <v>0</v>
      </c>
      <c r="F19" s="8">
        <f>SUMIFS(Dados!$I$1:$I$1993,Dados!$B$1:$B$1993,F$7,Dados!$A$1:$A$1993,$A19)</f>
        <v>0</v>
      </c>
      <c r="G19" s="8">
        <f>SUMIFS(Dados!$I$1:$I$1993,Dados!$B$1:$B$1993,G$7,Dados!$A$1:$A$1993,$A19)</f>
        <v>0</v>
      </c>
      <c r="H19" s="8">
        <f>SUMIFS(Dados!$I$1:$I$1993,Dados!$B$1:$B$1993,H$7,Dados!$A$1:$A$1993,$A19)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9">
        <f t="shared" si="5"/>
        <v>0</v>
      </c>
      <c r="N19" s="35"/>
    </row>
    <row r="20" spans="1:14" ht="24" customHeight="1" x14ac:dyDescent="0.25">
      <c r="A20" s="58">
        <f t="shared" si="3"/>
        <v>172</v>
      </c>
      <c r="B20" s="25">
        <f t="shared" si="4"/>
        <v>12</v>
      </c>
      <c r="C20" s="8">
        <f>SUMIFS(Dados!$I$1:$I$1993,Dados!$B$1:$B$1993,C$7,Dados!$A$1:$A$1993,$A20)</f>
        <v>0</v>
      </c>
      <c r="D20" s="8">
        <f>SUMIFS(Dados!$I$1:$I$1993,Dados!$B$1:$B$1993,D$7,Dados!$A$1:$A$1993,$A20)</f>
        <v>0</v>
      </c>
      <c r="E20" s="8">
        <f>SUMIFS(Dados!$I$1:$I$1993,Dados!$B$1:$B$1993,E$7,Dados!$A$1:$A$1993,$A20)</f>
        <v>0</v>
      </c>
      <c r="F20" s="8">
        <f>SUMIFS(Dados!$I$1:$I$1993,Dados!$B$1:$B$1993,F$7,Dados!$A$1:$A$1993,$A20)</f>
        <v>0</v>
      </c>
      <c r="G20" s="8">
        <f>SUMIFS(Dados!$I$1:$I$1993,Dados!$B$1:$B$1993,G$7,Dados!$A$1:$A$1993,$A20)</f>
        <v>0</v>
      </c>
      <c r="H20" s="8">
        <f>SUMIFS(Dados!$I$1:$I$1993,Dados!$B$1:$B$1993,H$7,Dados!$A$1:$A$1993,$A20)</f>
        <v>0</v>
      </c>
      <c r="I20" s="8">
        <f t="shared" si="0"/>
        <v>0</v>
      </c>
      <c r="J20" s="8">
        <f t="shared" si="1"/>
        <v>0</v>
      </c>
      <c r="K20" s="8">
        <f t="shared" si="2"/>
        <v>0</v>
      </c>
      <c r="L20" s="9">
        <f t="shared" si="5"/>
        <v>0</v>
      </c>
      <c r="N20" s="35"/>
    </row>
    <row r="21" spans="1:14" ht="24" customHeight="1" x14ac:dyDescent="0.25">
      <c r="A21" s="58">
        <f t="shared" si="3"/>
        <v>187</v>
      </c>
      <c r="B21" s="25">
        <f t="shared" si="4"/>
        <v>13</v>
      </c>
      <c r="C21" s="8">
        <f>SUMIFS(Dados!$I$1:$I$1993,Dados!$B$1:$B$1993,C$7,Dados!$A$1:$A$1993,$A21)</f>
        <v>0</v>
      </c>
      <c r="D21" s="8">
        <f>SUMIFS(Dados!$I$1:$I$1993,Dados!$B$1:$B$1993,D$7,Dados!$A$1:$A$1993,$A21)</f>
        <v>0</v>
      </c>
      <c r="E21" s="8">
        <f>SUMIFS(Dados!$I$1:$I$1993,Dados!$B$1:$B$1993,E$7,Dados!$A$1:$A$1993,$A21)</f>
        <v>0</v>
      </c>
      <c r="F21" s="8">
        <f>SUMIFS(Dados!$I$1:$I$1993,Dados!$B$1:$B$1993,F$7,Dados!$A$1:$A$1993,$A21)</f>
        <v>0</v>
      </c>
      <c r="G21" s="8">
        <f>SUMIFS(Dados!$I$1:$I$1993,Dados!$B$1:$B$1993,G$7,Dados!$A$1:$A$1993,$A21)</f>
        <v>0</v>
      </c>
      <c r="H21" s="8">
        <f>SUMIFS(Dados!$I$1:$I$1993,Dados!$B$1:$B$1993,H$7,Dados!$A$1:$A$1993,$A21)</f>
        <v>0</v>
      </c>
      <c r="I21" s="8">
        <f t="shared" si="0"/>
        <v>0</v>
      </c>
      <c r="J21" s="8">
        <f t="shared" si="1"/>
        <v>0</v>
      </c>
      <c r="K21" s="8">
        <f t="shared" si="2"/>
        <v>0</v>
      </c>
      <c r="L21" s="9">
        <f t="shared" si="5"/>
        <v>0</v>
      </c>
      <c r="N21" s="35"/>
    </row>
    <row r="22" spans="1:14" ht="24" customHeight="1" x14ac:dyDescent="0.25">
      <c r="A22" s="58">
        <f t="shared" si="3"/>
        <v>202</v>
      </c>
      <c r="B22" s="25">
        <f t="shared" si="4"/>
        <v>14</v>
      </c>
      <c r="C22" s="8">
        <f>SUMIFS(Dados!$I$1:$I$1993,Dados!$B$1:$B$1993,C$7,Dados!$A$1:$A$1993,$A22)</f>
        <v>0</v>
      </c>
      <c r="D22" s="8">
        <f>SUMIFS(Dados!$I$1:$I$1993,Dados!$B$1:$B$1993,D$7,Dados!$A$1:$A$1993,$A22)</f>
        <v>0</v>
      </c>
      <c r="E22" s="8">
        <f>SUMIFS(Dados!$I$1:$I$1993,Dados!$B$1:$B$1993,E$7,Dados!$A$1:$A$1993,$A22)</f>
        <v>0</v>
      </c>
      <c r="F22" s="8">
        <f>SUMIFS(Dados!$I$1:$I$1993,Dados!$B$1:$B$1993,F$7,Dados!$A$1:$A$1993,$A22)</f>
        <v>0</v>
      </c>
      <c r="G22" s="8">
        <f>SUMIFS(Dados!$I$1:$I$1993,Dados!$B$1:$B$1993,G$7,Dados!$A$1:$A$1993,$A22)</f>
        <v>0</v>
      </c>
      <c r="H22" s="8">
        <f>SUMIFS(Dados!$I$1:$I$1993,Dados!$B$1:$B$1993,H$7,Dados!$A$1:$A$1993,$A22)</f>
        <v>0</v>
      </c>
      <c r="I22" s="8">
        <f t="shared" si="0"/>
        <v>0</v>
      </c>
      <c r="J22" s="8">
        <f t="shared" si="1"/>
        <v>0</v>
      </c>
      <c r="K22" s="8">
        <f t="shared" si="2"/>
        <v>0</v>
      </c>
      <c r="L22" s="9">
        <f t="shared" si="5"/>
        <v>0</v>
      </c>
      <c r="N22" s="35"/>
    </row>
    <row r="23" spans="1:14" ht="24" customHeight="1" x14ac:dyDescent="0.25">
      <c r="A23" s="58">
        <f t="shared" si="3"/>
        <v>218</v>
      </c>
      <c r="B23" s="25">
        <f t="shared" si="4"/>
        <v>15</v>
      </c>
      <c r="C23" s="8">
        <f>SUMIFS(Dados!$I$1:$I$1993,Dados!$B$1:$B$1993,C$7,Dados!$A$1:$A$1993,$A23)</f>
        <v>0</v>
      </c>
      <c r="D23" s="8">
        <f>SUMIFS(Dados!$I$1:$I$1993,Dados!$B$1:$B$1993,D$7,Dados!$A$1:$A$1993,$A23)</f>
        <v>0</v>
      </c>
      <c r="E23" s="8">
        <f>SUMIFS(Dados!$I$1:$I$1993,Dados!$B$1:$B$1993,E$7,Dados!$A$1:$A$1993,$A23)</f>
        <v>0</v>
      </c>
      <c r="F23" s="8">
        <f>SUMIFS(Dados!$I$1:$I$1993,Dados!$B$1:$B$1993,F$7,Dados!$A$1:$A$1993,$A23)</f>
        <v>0</v>
      </c>
      <c r="G23" s="8">
        <f>SUMIFS(Dados!$I$1:$I$1993,Dados!$B$1:$B$1993,G$7,Dados!$A$1:$A$1993,$A23)</f>
        <v>0</v>
      </c>
      <c r="H23" s="8">
        <f>SUMIFS(Dados!$I$1:$I$1993,Dados!$B$1:$B$1993,H$7,Dados!$A$1:$A$1993,$A23)</f>
        <v>0</v>
      </c>
      <c r="I23" s="8">
        <f t="shared" si="0"/>
        <v>0</v>
      </c>
      <c r="J23" s="8">
        <f t="shared" si="1"/>
        <v>0</v>
      </c>
      <c r="K23" s="8">
        <f t="shared" si="2"/>
        <v>0</v>
      </c>
      <c r="L23" s="9">
        <f t="shared" si="5"/>
        <v>0</v>
      </c>
      <c r="N23" s="35"/>
    </row>
    <row r="24" spans="1:14" ht="24" customHeight="1" x14ac:dyDescent="0.25">
      <c r="A24" s="58">
        <f t="shared" si="3"/>
        <v>233</v>
      </c>
      <c r="B24" s="25">
        <f t="shared" si="4"/>
        <v>16</v>
      </c>
      <c r="C24" s="8">
        <f>SUMIFS(Dados!$I$1:$I$1993,Dados!$B$1:$B$1993,C$7,Dados!$A$1:$A$1993,$A24)</f>
        <v>0</v>
      </c>
      <c r="D24" s="8">
        <f>SUMIFS(Dados!$I$1:$I$1993,Dados!$B$1:$B$1993,D$7,Dados!$A$1:$A$1993,$A24)</f>
        <v>0</v>
      </c>
      <c r="E24" s="8">
        <f>SUMIFS(Dados!$I$1:$I$1993,Dados!$B$1:$B$1993,E$7,Dados!$A$1:$A$1993,$A24)</f>
        <v>0</v>
      </c>
      <c r="F24" s="8">
        <f>SUMIFS(Dados!$I$1:$I$1993,Dados!$B$1:$B$1993,F$7,Dados!$A$1:$A$1993,$A24)</f>
        <v>0</v>
      </c>
      <c r="G24" s="8">
        <f>SUMIFS(Dados!$I$1:$I$1993,Dados!$B$1:$B$1993,G$7,Dados!$A$1:$A$1993,$A24)</f>
        <v>0</v>
      </c>
      <c r="H24" s="8">
        <f>SUMIFS(Dados!$I$1:$I$1993,Dados!$B$1:$B$1993,H$7,Dados!$A$1:$A$1993,$A24)</f>
        <v>0</v>
      </c>
      <c r="I24" s="8">
        <f t="shared" si="0"/>
        <v>0</v>
      </c>
      <c r="J24" s="8">
        <f t="shared" si="1"/>
        <v>0</v>
      </c>
      <c r="K24" s="7">
        <f t="shared" si="2"/>
        <v>0</v>
      </c>
      <c r="L24" s="9">
        <f t="shared" si="5"/>
        <v>0</v>
      </c>
      <c r="N24" s="35"/>
    </row>
    <row r="25" spans="1:14" ht="24" customHeight="1" x14ac:dyDescent="0.25">
      <c r="A25" s="58">
        <f t="shared" si="3"/>
        <v>249</v>
      </c>
      <c r="B25" s="25">
        <f t="shared" si="4"/>
        <v>17</v>
      </c>
      <c r="C25" s="8">
        <f>SUMIFS(Dados!$I$1:$I$1993,Dados!$B$1:$B$1993,C$7,Dados!$A$1:$A$1993,$A25)</f>
        <v>0</v>
      </c>
      <c r="D25" s="8">
        <f>SUMIFS(Dados!$I$1:$I$1993,Dados!$B$1:$B$1993,D$7,Dados!$A$1:$A$1993,$A25)</f>
        <v>0</v>
      </c>
      <c r="E25" s="8">
        <f>SUMIFS(Dados!$I$1:$I$1993,Dados!$B$1:$B$1993,E$7,Dados!$A$1:$A$1993,$A25)</f>
        <v>0</v>
      </c>
      <c r="F25" s="8">
        <f>SUMIFS(Dados!$I$1:$I$1993,Dados!$B$1:$B$1993,F$7,Dados!$A$1:$A$1993,$A25)</f>
        <v>0</v>
      </c>
      <c r="G25" s="8">
        <f>SUMIFS(Dados!$I$1:$I$1993,Dados!$B$1:$B$1993,G$7,Dados!$A$1:$A$1993,$A25)</f>
        <v>0</v>
      </c>
      <c r="H25" s="8">
        <f>SUMIFS(Dados!$I$1:$I$1993,Dados!$B$1:$B$1993,H$7,Dados!$A$1:$A$1993,$A25)</f>
        <v>0</v>
      </c>
      <c r="I25" s="8">
        <f t="shared" si="0"/>
        <v>0</v>
      </c>
      <c r="J25" s="8">
        <f t="shared" si="1"/>
        <v>0</v>
      </c>
      <c r="K25" s="7">
        <f t="shared" si="2"/>
        <v>0</v>
      </c>
      <c r="L25" s="9">
        <f t="shared" si="5"/>
        <v>0</v>
      </c>
      <c r="N25" s="35"/>
    </row>
    <row r="26" spans="1:14" ht="24" customHeight="1" x14ac:dyDescent="0.25">
      <c r="A26" s="58">
        <f t="shared" si="3"/>
        <v>264</v>
      </c>
      <c r="B26" s="25">
        <f t="shared" si="4"/>
        <v>18</v>
      </c>
      <c r="C26" s="8">
        <f>SUMIFS(Dados!$I$1:$I$1993,Dados!$B$1:$B$1993,C$7,Dados!$A$1:$A$1993,$A26)</f>
        <v>0</v>
      </c>
      <c r="D26" s="8">
        <f>SUMIFS(Dados!$I$1:$I$1993,Dados!$B$1:$B$1993,D$7,Dados!$A$1:$A$1993,$A26)</f>
        <v>0</v>
      </c>
      <c r="E26" s="8">
        <f>SUMIFS(Dados!$I$1:$I$1993,Dados!$B$1:$B$1993,E$7,Dados!$A$1:$A$1993,$A26)</f>
        <v>0</v>
      </c>
      <c r="F26" s="8">
        <f>SUMIFS(Dados!$I$1:$I$1993,Dados!$B$1:$B$1993,F$7,Dados!$A$1:$A$1993,$A26)</f>
        <v>0</v>
      </c>
      <c r="G26" s="8">
        <f>SUMIFS(Dados!$I$1:$I$1993,Dados!$B$1:$B$1993,G$7,Dados!$A$1:$A$1993,$A26)</f>
        <v>0</v>
      </c>
      <c r="H26" s="8">
        <f>SUMIFS(Dados!$I$1:$I$1993,Dados!$B$1:$B$1993,H$7,Dados!$A$1:$A$1993,$A26)</f>
        <v>0</v>
      </c>
      <c r="I26" s="8">
        <f t="shared" si="0"/>
        <v>0</v>
      </c>
      <c r="J26" s="8">
        <f t="shared" si="1"/>
        <v>0</v>
      </c>
      <c r="K26" s="7">
        <f t="shared" si="2"/>
        <v>0</v>
      </c>
      <c r="L26" s="9">
        <f t="shared" si="5"/>
        <v>0</v>
      </c>
      <c r="N26" s="35"/>
    </row>
    <row r="27" spans="1:14" ht="24" customHeight="1" x14ac:dyDescent="0.25">
      <c r="A27" s="58">
        <f t="shared" si="3"/>
        <v>279</v>
      </c>
      <c r="B27" s="25">
        <f t="shared" si="4"/>
        <v>19</v>
      </c>
      <c r="C27" s="8">
        <f>SUMIFS(Dados!$I$1:$I$1993,Dados!$B$1:$B$1993,C$7,Dados!$A$1:$A$1993,$A27)</f>
        <v>0</v>
      </c>
      <c r="D27" s="8">
        <f>SUMIFS(Dados!$I$1:$I$1993,Dados!$B$1:$B$1993,D$7,Dados!$A$1:$A$1993,$A27)</f>
        <v>0</v>
      </c>
      <c r="E27" s="8">
        <f>SUMIFS(Dados!$I$1:$I$1993,Dados!$B$1:$B$1993,E$7,Dados!$A$1:$A$1993,$A27)</f>
        <v>0</v>
      </c>
      <c r="F27" s="8">
        <f>SUMIFS(Dados!$I$1:$I$1993,Dados!$B$1:$B$1993,F$7,Dados!$A$1:$A$1993,$A27)</f>
        <v>0</v>
      </c>
      <c r="G27" s="8">
        <f>SUMIFS(Dados!$I$1:$I$1993,Dados!$B$1:$B$1993,G$7,Dados!$A$1:$A$1993,$A27)</f>
        <v>0</v>
      </c>
      <c r="H27" s="8">
        <f>SUMIFS(Dados!$I$1:$I$1993,Dados!$B$1:$B$1993,H$7,Dados!$A$1:$A$1993,$A27)</f>
        <v>0</v>
      </c>
      <c r="I27" s="8">
        <f t="shared" si="0"/>
        <v>0</v>
      </c>
      <c r="J27" s="8">
        <f t="shared" si="1"/>
        <v>0</v>
      </c>
      <c r="K27" s="7">
        <f t="shared" si="2"/>
        <v>0</v>
      </c>
      <c r="L27" s="9">
        <f t="shared" si="5"/>
        <v>0</v>
      </c>
      <c r="N27" s="35"/>
    </row>
    <row r="28" spans="1:14" ht="24" customHeight="1" x14ac:dyDescent="0.25">
      <c r="A28" s="58">
        <f t="shared" si="3"/>
        <v>294</v>
      </c>
      <c r="B28" s="25">
        <f t="shared" si="4"/>
        <v>20</v>
      </c>
      <c r="C28" s="8">
        <f>SUMIFS(Dados!$I$1:$I$1993,Dados!$B$1:$B$1993,C$7,Dados!$A$1:$A$1993,$A28)</f>
        <v>0</v>
      </c>
      <c r="D28" s="8">
        <f>SUMIFS(Dados!$I$1:$I$1993,Dados!$B$1:$B$1993,D$7,Dados!$A$1:$A$1993,$A28)</f>
        <v>0</v>
      </c>
      <c r="E28" s="8">
        <f>SUMIFS(Dados!$I$1:$I$1993,Dados!$B$1:$B$1993,E$7,Dados!$A$1:$A$1993,$A28)</f>
        <v>0</v>
      </c>
      <c r="F28" s="8">
        <f>SUMIFS(Dados!$I$1:$I$1993,Dados!$B$1:$B$1993,F$7,Dados!$A$1:$A$1993,$A28)</f>
        <v>0</v>
      </c>
      <c r="G28" s="8">
        <f>SUMIFS(Dados!$I$1:$I$1993,Dados!$B$1:$B$1993,G$7,Dados!$A$1:$A$1993,$A28)</f>
        <v>0</v>
      </c>
      <c r="H28" s="8">
        <f>SUMIFS(Dados!$I$1:$I$1993,Dados!$B$1:$B$1993,H$7,Dados!$A$1:$A$1993,$A28)</f>
        <v>0</v>
      </c>
      <c r="I28" s="8">
        <f t="shared" si="0"/>
        <v>0</v>
      </c>
      <c r="J28" s="8">
        <f t="shared" si="1"/>
        <v>0</v>
      </c>
      <c r="K28" s="7">
        <f t="shared" si="2"/>
        <v>0</v>
      </c>
      <c r="L28" s="9">
        <f t="shared" si="5"/>
        <v>0</v>
      </c>
      <c r="N28" s="35"/>
    </row>
    <row r="29" spans="1:14" ht="24" customHeight="1" x14ac:dyDescent="0.25">
      <c r="A29" s="58">
        <f t="shared" si="3"/>
        <v>310</v>
      </c>
      <c r="B29" s="25">
        <f t="shared" si="4"/>
        <v>21</v>
      </c>
      <c r="C29" s="8">
        <f>SUMIFS(Dados!$I$1:$I$1993,Dados!$B$1:$B$1993,C$7,Dados!$A$1:$A$1993,$A29)</f>
        <v>0</v>
      </c>
      <c r="D29" s="8">
        <f>SUMIFS(Dados!$I$1:$I$1993,Dados!$B$1:$B$1993,D$7,Dados!$A$1:$A$1993,$A29)</f>
        <v>0</v>
      </c>
      <c r="E29" s="8">
        <f>SUMIFS(Dados!$I$1:$I$1993,Dados!$B$1:$B$1993,E$7,Dados!$A$1:$A$1993,$A29)</f>
        <v>0</v>
      </c>
      <c r="F29" s="8">
        <f>SUMIFS(Dados!$I$1:$I$1993,Dados!$B$1:$B$1993,F$7,Dados!$A$1:$A$1993,$A29)</f>
        <v>0</v>
      </c>
      <c r="G29" s="8">
        <f>SUMIFS(Dados!$I$1:$I$1993,Dados!$B$1:$B$1993,G$7,Dados!$A$1:$A$1993,$A29)</f>
        <v>0</v>
      </c>
      <c r="H29" s="8">
        <f>SUMIFS(Dados!$I$1:$I$1993,Dados!$B$1:$B$1993,H$7,Dados!$A$1:$A$1993,$A29)</f>
        <v>0</v>
      </c>
      <c r="I29" s="8">
        <f t="shared" si="0"/>
        <v>0</v>
      </c>
      <c r="J29" s="8">
        <f t="shared" si="1"/>
        <v>0</v>
      </c>
      <c r="K29" s="7">
        <f t="shared" si="2"/>
        <v>0</v>
      </c>
      <c r="L29" s="9">
        <f t="shared" si="5"/>
        <v>0</v>
      </c>
      <c r="N29" s="35"/>
    </row>
    <row r="30" spans="1:14" ht="24" customHeight="1" x14ac:dyDescent="0.25">
      <c r="A30" s="58">
        <f t="shared" si="3"/>
        <v>325</v>
      </c>
      <c r="B30" s="25">
        <f t="shared" si="4"/>
        <v>22</v>
      </c>
      <c r="C30" s="8">
        <f>SUMIFS(Dados!$I$1:$I$1993,Dados!$B$1:$B$1993,C$7,Dados!$A$1:$A$1993,$A30)</f>
        <v>0</v>
      </c>
      <c r="D30" s="8">
        <f>SUMIFS(Dados!$I$1:$I$1993,Dados!$B$1:$B$1993,D$7,Dados!$A$1:$A$1993,$A30)</f>
        <v>0</v>
      </c>
      <c r="E30" s="8">
        <f>SUMIFS(Dados!$I$1:$I$1993,Dados!$B$1:$B$1993,E$7,Dados!$A$1:$A$1993,$A30)</f>
        <v>0</v>
      </c>
      <c r="F30" s="8">
        <f>SUMIFS(Dados!$I$1:$I$1993,Dados!$B$1:$B$1993,F$7,Dados!$A$1:$A$1993,$A30)</f>
        <v>0</v>
      </c>
      <c r="G30" s="8">
        <f>SUMIFS(Dados!$I$1:$I$1993,Dados!$B$1:$B$1993,G$7,Dados!$A$1:$A$1993,$A30)</f>
        <v>0</v>
      </c>
      <c r="H30" s="8">
        <f>SUMIFS(Dados!$I$1:$I$1993,Dados!$B$1:$B$1993,H$7,Dados!$A$1:$A$1993,$A30)</f>
        <v>0</v>
      </c>
      <c r="I30" s="8">
        <f t="shared" si="0"/>
        <v>0</v>
      </c>
      <c r="J30" s="8">
        <f t="shared" si="1"/>
        <v>0</v>
      </c>
      <c r="K30" s="7">
        <f t="shared" si="2"/>
        <v>0</v>
      </c>
      <c r="L30" s="9">
        <f t="shared" si="5"/>
        <v>0</v>
      </c>
      <c r="N30" s="35"/>
    </row>
    <row r="31" spans="1:14" ht="24" customHeight="1" x14ac:dyDescent="0.25">
      <c r="A31" s="58">
        <f t="shared" si="3"/>
        <v>340</v>
      </c>
      <c r="B31" s="25">
        <f t="shared" si="4"/>
        <v>23</v>
      </c>
      <c r="C31" s="8">
        <f>SUMIFS(Dados!$I$1:$I$1993,Dados!$B$1:$B$1993,C$7,Dados!$A$1:$A$1993,$A31)</f>
        <v>0</v>
      </c>
      <c r="D31" s="8">
        <f>SUMIFS(Dados!$I$1:$I$1993,Dados!$B$1:$B$1993,D$7,Dados!$A$1:$A$1993,$A31)</f>
        <v>0</v>
      </c>
      <c r="E31" s="8">
        <f>SUMIFS(Dados!$I$1:$I$1993,Dados!$B$1:$B$1993,E$7,Dados!$A$1:$A$1993,$A31)</f>
        <v>0</v>
      </c>
      <c r="F31" s="8">
        <f>SUMIFS(Dados!$I$1:$I$1993,Dados!$B$1:$B$1993,F$7,Dados!$A$1:$A$1993,$A31)</f>
        <v>0</v>
      </c>
      <c r="G31" s="8">
        <f>SUMIFS(Dados!$I$1:$I$1993,Dados!$B$1:$B$1993,G$7,Dados!$A$1:$A$1993,$A31)</f>
        <v>0</v>
      </c>
      <c r="H31" s="8">
        <f>SUMIFS(Dados!$I$1:$I$1993,Dados!$B$1:$B$1993,H$7,Dados!$A$1:$A$1993,$A31)</f>
        <v>0</v>
      </c>
      <c r="I31" s="8">
        <f t="shared" si="0"/>
        <v>0</v>
      </c>
      <c r="J31" s="8">
        <f t="shared" si="1"/>
        <v>0</v>
      </c>
      <c r="K31" s="7">
        <f t="shared" si="2"/>
        <v>0</v>
      </c>
      <c r="L31" s="9">
        <f t="shared" si="5"/>
        <v>0</v>
      </c>
      <c r="N31" s="35"/>
    </row>
    <row r="32" spans="1:14" ht="24" customHeight="1" x14ac:dyDescent="0.25">
      <c r="A32" s="58">
        <f t="shared" si="3"/>
        <v>355</v>
      </c>
      <c r="B32" s="25">
        <f t="shared" si="4"/>
        <v>24</v>
      </c>
      <c r="C32" s="8">
        <f>SUMIFS(Dados!$I$1:$I$1993,Dados!$B$1:$B$1993,C$7,Dados!$A$1:$A$1993,$A32)</f>
        <v>0</v>
      </c>
      <c r="D32" s="8">
        <f>SUMIFS(Dados!$I$1:$I$1993,Dados!$B$1:$B$1993,D$7,Dados!$A$1:$A$1993,$A32)</f>
        <v>0</v>
      </c>
      <c r="E32" s="8">
        <f>SUMIFS(Dados!$I$1:$I$1993,Dados!$B$1:$B$1993,E$7,Dados!$A$1:$A$1993,$A32)</f>
        <v>0</v>
      </c>
      <c r="F32" s="8">
        <f>SUMIFS(Dados!$I$1:$I$1993,Dados!$B$1:$B$1993,F$7,Dados!$A$1:$A$1993,$A32)</f>
        <v>0</v>
      </c>
      <c r="G32" s="8">
        <f>SUMIFS(Dados!$I$1:$I$1993,Dados!$B$1:$B$1993,G$7,Dados!$A$1:$A$1993,$A32)</f>
        <v>0</v>
      </c>
      <c r="H32" s="8">
        <f>SUMIFS(Dados!$I$1:$I$1993,Dados!$B$1:$B$1993,H$7,Dados!$A$1:$A$1993,$A32)</f>
        <v>0</v>
      </c>
      <c r="I32" s="8">
        <f t="shared" si="0"/>
        <v>0</v>
      </c>
      <c r="J32" s="8">
        <f t="shared" si="1"/>
        <v>0</v>
      </c>
      <c r="K32" s="7">
        <f t="shared" si="2"/>
        <v>0</v>
      </c>
      <c r="L32" s="9">
        <f t="shared" si="5"/>
        <v>0</v>
      </c>
      <c r="N32" s="35"/>
    </row>
    <row r="33" spans="1:14" ht="24" customHeight="1" x14ac:dyDescent="0.25">
      <c r="A33" s="58">
        <f t="shared" si="3"/>
        <v>371</v>
      </c>
      <c r="B33" s="25">
        <f t="shared" si="4"/>
        <v>25</v>
      </c>
      <c r="C33" s="8">
        <f>SUMIFS(Dados!$I$1:$I$1993,Dados!$B$1:$B$1993,C$7,Dados!$A$1:$A$1993,$A33)</f>
        <v>0</v>
      </c>
      <c r="D33" s="8">
        <f>SUMIFS(Dados!$I$1:$I$1993,Dados!$B$1:$B$1993,D$7,Dados!$A$1:$A$1993,$A33)</f>
        <v>0</v>
      </c>
      <c r="E33" s="8">
        <f>SUMIFS(Dados!$I$1:$I$1993,Dados!$B$1:$B$1993,E$7,Dados!$A$1:$A$1993,$A33)</f>
        <v>0</v>
      </c>
      <c r="F33" s="8">
        <f>SUMIFS(Dados!$I$1:$I$1993,Dados!$B$1:$B$1993,F$7,Dados!$A$1:$A$1993,$A33)</f>
        <v>0</v>
      </c>
      <c r="G33" s="8">
        <f>SUMIFS(Dados!$I$1:$I$1993,Dados!$B$1:$B$1993,G$7,Dados!$A$1:$A$1993,$A33)</f>
        <v>0</v>
      </c>
      <c r="H33" s="8">
        <f>SUMIFS(Dados!$I$1:$I$1993,Dados!$B$1:$B$1993,H$7,Dados!$A$1:$A$1993,$A33)</f>
        <v>0</v>
      </c>
      <c r="I33" s="8">
        <f t="shared" si="0"/>
        <v>0</v>
      </c>
      <c r="J33" s="8">
        <f t="shared" si="1"/>
        <v>0</v>
      </c>
      <c r="K33" s="7">
        <f t="shared" si="2"/>
        <v>0</v>
      </c>
      <c r="L33" s="9">
        <f t="shared" si="5"/>
        <v>0</v>
      </c>
      <c r="N33" s="35"/>
    </row>
    <row r="34" spans="1:14" ht="24" customHeight="1" x14ac:dyDescent="0.25">
      <c r="A34" s="58">
        <f t="shared" si="3"/>
        <v>386</v>
      </c>
      <c r="B34" s="25">
        <f t="shared" si="4"/>
        <v>26</v>
      </c>
      <c r="C34" s="8">
        <f>SUMIFS(Dados!$I$1:$I$1993,Dados!$B$1:$B$1993,C$7,Dados!$A$1:$A$1993,$A34)</f>
        <v>0</v>
      </c>
      <c r="D34" s="8">
        <f>SUMIFS(Dados!$I$1:$I$1993,Dados!$B$1:$B$1993,D$7,Dados!$A$1:$A$1993,$A34)</f>
        <v>0</v>
      </c>
      <c r="E34" s="8">
        <f>SUMIFS(Dados!$I$1:$I$1993,Dados!$B$1:$B$1993,E$7,Dados!$A$1:$A$1993,$A34)</f>
        <v>0</v>
      </c>
      <c r="F34" s="8">
        <f>SUMIFS(Dados!$I$1:$I$1993,Dados!$B$1:$B$1993,F$7,Dados!$A$1:$A$1993,$A34)</f>
        <v>0</v>
      </c>
      <c r="G34" s="8">
        <f>SUMIFS(Dados!$I$1:$I$1993,Dados!$B$1:$B$1993,G$7,Dados!$A$1:$A$1993,$A34)</f>
        <v>0</v>
      </c>
      <c r="H34" s="8">
        <f>SUMIFS(Dados!$I$1:$I$1993,Dados!$B$1:$B$1993,H$7,Dados!$A$1:$A$1993,$A34)</f>
        <v>0</v>
      </c>
      <c r="I34" s="8">
        <f t="shared" si="0"/>
        <v>0</v>
      </c>
      <c r="J34" s="8">
        <f t="shared" si="1"/>
        <v>0</v>
      </c>
      <c r="K34" s="7">
        <f t="shared" si="2"/>
        <v>0</v>
      </c>
      <c r="L34" s="9">
        <f t="shared" si="5"/>
        <v>0</v>
      </c>
      <c r="N34" s="35"/>
    </row>
    <row r="35" spans="1:14" ht="24" customHeight="1" x14ac:dyDescent="0.25">
      <c r="A35" s="58">
        <f t="shared" si="3"/>
        <v>402</v>
      </c>
      <c r="B35" s="25">
        <f t="shared" si="4"/>
        <v>27</v>
      </c>
      <c r="C35" s="8">
        <f>SUMIFS(Dados!$I$1:$I$1993,Dados!$B$1:$B$1993,C$7,Dados!$A$1:$A$1993,$A35)</f>
        <v>0</v>
      </c>
      <c r="D35" s="8">
        <f>SUMIFS(Dados!$I$1:$I$1993,Dados!$B$1:$B$1993,D$7,Dados!$A$1:$A$1993,$A35)</f>
        <v>0</v>
      </c>
      <c r="E35" s="8">
        <f>SUMIFS(Dados!$I$1:$I$1993,Dados!$B$1:$B$1993,E$7,Dados!$A$1:$A$1993,$A35)</f>
        <v>0</v>
      </c>
      <c r="F35" s="8">
        <f>SUMIFS(Dados!$I$1:$I$1993,Dados!$B$1:$B$1993,F$7,Dados!$A$1:$A$1993,$A35)</f>
        <v>0</v>
      </c>
      <c r="G35" s="8">
        <f>SUMIFS(Dados!$I$1:$I$1993,Dados!$B$1:$B$1993,G$7,Dados!$A$1:$A$1993,$A35)</f>
        <v>0</v>
      </c>
      <c r="H35" s="8">
        <f>SUMIFS(Dados!$I$1:$I$1993,Dados!$B$1:$B$1993,H$7,Dados!$A$1:$A$1993,$A35)</f>
        <v>0</v>
      </c>
      <c r="I35" s="8">
        <f t="shared" si="0"/>
        <v>0</v>
      </c>
      <c r="J35" s="8">
        <f t="shared" si="1"/>
        <v>0</v>
      </c>
      <c r="K35" s="7">
        <f t="shared" si="2"/>
        <v>0</v>
      </c>
      <c r="L35" s="9">
        <f t="shared" si="5"/>
        <v>0</v>
      </c>
      <c r="N35" s="35"/>
    </row>
    <row r="36" spans="1:14" ht="24" customHeight="1" x14ac:dyDescent="0.25">
      <c r="A36" s="58">
        <f t="shared" si="3"/>
        <v>417</v>
      </c>
      <c r="B36" s="25">
        <f t="shared" si="4"/>
        <v>28</v>
      </c>
      <c r="C36" s="8">
        <f>SUMIFS(Dados!$I$1:$I$1993,Dados!$B$1:$B$1993,C$7,Dados!$A$1:$A$1993,$A36)</f>
        <v>0</v>
      </c>
      <c r="D36" s="8">
        <f>SUMIFS(Dados!$I$1:$I$1993,Dados!$B$1:$B$1993,D$7,Dados!$A$1:$A$1993,$A36)</f>
        <v>0</v>
      </c>
      <c r="E36" s="8">
        <f>SUMIFS(Dados!$I$1:$I$1993,Dados!$B$1:$B$1993,E$7,Dados!$A$1:$A$1993,$A36)</f>
        <v>0</v>
      </c>
      <c r="F36" s="8">
        <f>SUMIFS(Dados!$I$1:$I$1993,Dados!$B$1:$B$1993,F$7,Dados!$A$1:$A$1993,$A36)</f>
        <v>0</v>
      </c>
      <c r="G36" s="8">
        <f>SUMIFS(Dados!$I$1:$I$1993,Dados!$B$1:$B$1993,G$7,Dados!$A$1:$A$1993,$A36)</f>
        <v>0</v>
      </c>
      <c r="H36" s="8">
        <f>SUMIFS(Dados!$I$1:$I$1993,Dados!$B$1:$B$1993,H$7,Dados!$A$1:$A$1993,$A36)</f>
        <v>0</v>
      </c>
      <c r="I36" s="8">
        <f t="shared" si="0"/>
        <v>0</v>
      </c>
      <c r="J36" s="8">
        <f t="shared" si="1"/>
        <v>0</v>
      </c>
      <c r="K36" s="7">
        <f t="shared" si="2"/>
        <v>0</v>
      </c>
      <c r="L36" s="9">
        <f t="shared" si="5"/>
        <v>0</v>
      </c>
      <c r="N36" s="35"/>
    </row>
    <row r="37" spans="1:14" ht="24" customHeight="1" x14ac:dyDescent="0.25">
      <c r="A37" s="58">
        <f t="shared" si="3"/>
        <v>430</v>
      </c>
      <c r="B37" s="25">
        <f t="shared" si="4"/>
        <v>29</v>
      </c>
      <c r="C37" s="8">
        <f>SUMIFS(Dados!$I$1:$I$1993,Dados!$B$1:$B$1993,C$7,Dados!$A$1:$A$1993,$A37)</f>
        <v>0</v>
      </c>
      <c r="D37" s="8">
        <f>SUMIFS(Dados!$I$1:$I$1993,Dados!$B$1:$B$1993,D$7,Dados!$A$1:$A$1993,$A37)</f>
        <v>0</v>
      </c>
      <c r="E37" s="8">
        <f>SUMIFS(Dados!$I$1:$I$1993,Dados!$B$1:$B$1993,E$7,Dados!$A$1:$A$1993,$A37)</f>
        <v>0</v>
      </c>
      <c r="F37" s="8">
        <f>SUMIFS(Dados!$I$1:$I$1993,Dados!$B$1:$B$1993,F$7,Dados!$A$1:$A$1993,$A37)</f>
        <v>0</v>
      </c>
      <c r="G37" s="8">
        <f>SUMIFS(Dados!$I$1:$I$1993,Dados!$B$1:$B$1993,G$7,Dados!$A$1:$A$1993,$A37)</f>
        <v>0</v>
      </c>
      <c r="H37" s="8">
        <f>SUMIFS(Dados!$I$1:$I$1993,Dados!$B$1:$B$1993,H$7,Dados!$A$1:$A$1993,$A37)</f>
        <v>0</v>
      </c>
      <c r="I37" s="8">
        <f t="shared" si="0"/>
        <v>0</v>
      </c>
      <c r="J37" s="8">
        <f t="shared" si="1"/>
        <v>0</v>
      </c>
      <c r="K37" s="7">
        <f t="shared" si="2"/>
        <v>0</v>
      </c>
      <c r="L37" s="9">
        <f t="shared" si="5"/>
        <v>0</v>
      </c>
      <c r="N37" s="35"/>
    </row>
    <row r="38" spans="1:14" ht="24" customHeight="1" x14ac:dyDescent="0.25">
      <c r="A38" s="58">
        <f t="shared" si="3"/>
        <v>445</v>
      </c>
      <c r="B38" s="25">
        <f t="shared" si="4"/>
        <v>30</v>
      </c>
      <c r="C38" s="8">
        <f>SUMIFS(Dados!$I$1:$I$1993,Dados!$B$1:$B$1993,C$7,Dados!$A$1:$A$1993,$A38)</f>
        <v>0</v>
      </c>
      <c r="D38" s="8">
        <f>SUMIFS(Dados!$I$1:$I$1993,Dados!$B$1:$B$1993,D$7,Dados!$A$1:$A$1993,$A38)</f>
        <v>0</v>
      </c>
      <c r="E38" s="8">
        <f>SUMIFS(Dados!$I$1:$I$1993,Dados!$B$1:$B$1993,E$7,Dados!$A$1:$A$1993,$A38)</f>
        <v>0</v>
      </c>
      <c r="F38" s="8">
        <f>SUMIFS(Dados!$I$1:$I$1993,Dados!$B$1:$B$1993,F$7,Dados!$A$1:$A$1993,$A38)</f>
        <v>0</v>
      </c>
      <c r="G38" s="8">
        <f>SUMIFS(Dados!$I$1:$I$1993,Dados!$B$1:$B$1993,G$7,Dados!$A$1:$A$1993,$A38)</f>
        <v>0</v>
      </c>
      <c r="H38" s="8">
        <f>SUMIFS(Dados!$I$1:$I$1993,Dados!$B$1:$B$1993,H$7,Dados!$A$1:$A$1993,$A38)</f>
        <v>0</v>
      </c>
      <c r="I38" s="8">
        <f t="shared" si="0"/>
        <v>0</v>
      </c>
      <c r="J38" s="8">
        <f t="shared" si="1"/>
        <v>0</v>
      </c>
      <c r="K38" s="7">
        <f t="shared" si="2"/>
        <v>0</v>
      </c>
      <c r="L38" s="9">
        <f t="shared" si="5"/>
        <v>0</v>
      </c>
      <c r="N38" s="35"/>
    </row>
    <row r="39" spans="1:14" ht="24" customHeight="1" x14ac:dyDescent="0.25">
      <c r="A39" s="58">
        <f t="shared" si="3"/>
        <v>461</v>
      </c>
      <c r="B39" s="25">
        <f t="shared" si="4"/>
        <v>31</v>
      </c>
      <c r="C39" s="8">
        <f>SUMIFS(Dados!$I$1:$I$1993,Dados!$B$1:$B$1993,C$7,Dados!$A$1:$A$1993,$A39)</f>
        <v>0</v>
      </c>
      <c r="D39" s="8">
        <f>SUMIFS(Dados!$I$1:$I$1993,Dados!$B$1:$B$1993,D$7,Dados!$A$1:$A$1993,$A39)</f>
        <v>0</v>
      </c>
      <c r="E39" s="8">
        <f>SUMIFS(Dados!$I$1:$I$1993,Dados!$B$1:$B$1993,E$7,Dados!$A$1:$A$1993,$A39)</f>
        <v>0</v>
      </c>
      <c r="F39" s="8">
        <f>SUMIFS(Dados!$I$1:$I$1993,Dados!$B$1:$B$1993,F$7,Dados!$A$1:$A$1993,$A39)</f>
        <v>0</v>
      </c>
      <c r="G39" s="8">
        <f>SUMIFS(Dados!$I$1:$I$1993,Dados!$B$1:$B$1993,G$7,Dados!$A$1:$A$1993,$A39)</f>
        <v>0</v>
      </c>
      <c r="H39" s="8">
        <f>SUMIFS(Dados!$I$1:$I$1993,Dados!$B$1:$B$1993,H$7,Dados!$A$1:$A$1993,$A39)</f>
        <v>0</v>
      </c>
      <c r="I39" s="8">
        <f t="shared" si="0"/>
        <v>0</v>
      </c>
      <c r="J39" s="8">
        <f t="shared" si="1"/>
        <v>0</v>
      </c>
      <c r="K39" s="7">
        <f t="shared" si="2"/>
        <v>0</v>
      </c>
      <c r="L39" s="9">
        <f t="shared" si="5"/>
        <v>0</v>
      </c>
      <c r="N39" s="35"/>
    </row>
    <row r="40" spans="1:14" ht="24" customHeight="1" x14ac:dyDescent="0.25">
      <c r="A40" s="58">
        <f t="shared" si="3"/>
        <v>476</v>
      </c>
      <c r="B40" s="25">
        <f t="shared" si="4"/>
        <v>32</v>
      </c>
      <c r="C40" s="8">
        <f>SUMIFS(Dados!$I$1:$I$1993,Dados!$B$1:$B$1993,C$7,Dados!$A$1:$A$1993,$A40)</f>
        <v>0</v>
      </c>
      <c r="D40" s="8">
        <f>SUMIFS(Dados!$I$1:$I$1993,Dados!$B$1:$B$1993,D$7,Dados!$A$1:$A$1993,$A40)</f>
        <v>0</v>
      </c>
      <c r="E40" s="8">
        <f>SUMIFS(Dados!$I$1:$I$1993,Dados!$B$1:$B$1993,E$7,Dados!$A$1:$A$1993,$A40)</f>
        <v>0</v>
      </c>
      <c r="F40" s="8">
        <f>SUMIFS(Dados!$I$1:$I$1993,Dados!$B$1:$B$1993,F$7,Dados!$A$1:$A$1993,$A40)</f>
        <v>0</v>
      </c>
      <c r="G40" s="8">
        <f>SUMIFS(Dados!$I$1:$I$1993,Dados!$B$1:$B$1993,G$7,Dados!$A$1:$A$1993,$A40)</f>
        <v>0</v>
      </c>
      <c r="H40" s="8">
        <f>SUMIFS(Dados!$I$1:$I$1993,Dados!$B$1:$B$1993,H$7,Dados!$A$1:$A$1993,$A40)</f>
        <v>0</v>
      </c>
      <c r="I40" s="8">
        <f t="shared" si="0"/>
        <v>0</v>
      </c>
      <c r="J40" s="8">
        <f t="shared" si="1"/>
        <v>0</v>
      </c>
      <c r="K40" s="7">
        <f t="shared" si="2"/>
        <v>0</v>
      </c>
      <c r="L40" s="9">
        <f t="shared" si="5"/>
        <v>0</v>
      </c>
      <c r="N40" s="35"/>
    </row>
    <row r="41" spans="1:14" ht="24" customHeight="1" x14ac:dyDescent="0.25">
      <c r="A41" s="58">
        <f t="shared" si="3"/>
        <v>491</v>
      </c>
      <c r="B41" s="25">
        <f t="shared" si="4"/>
        <v>33</v>
      </c>
      <c r="C41" s="8">
        <f>SUMIFS(Dados!$I$1:$I$1993,Dados!$B$1:$B$1993,C$7,Dados!$A$1:$A$1993,$A41)</f>
        <v>0</v>
      </c>
      <c r="D41" s="8">
        <f>SUMIFS(Dados!$I$1:$I$1993,Dados!$B$1:$B$1993,D$7,Dados!$A$1:$A$1993,$A41)</f>
        <v>0</v>
      </c>
      <c r="E41" s="8">
        <f>SUMIFS(Dados!$I$1:$I$1993,Dados!$B$1:$B$1993,E$7,Dados!$A$1:$A$1993,$A41)</f>
        <v>0</v>
      </c>
      <c r="F41" s="8">
        <f>SUMIFS(Dados!$I$1:$I$1993,Dados!$B$1:$B$1993,F$7,Dados!$A$1:$A$1993,$A41)</f>
        <v>0</v>
      </c>
      <c r="G41" s="8">
        <f>SUMIFS(Dados!$I$1:$I$1993,Dados!$B$1:$B$1993,G$7,Dados!$A$1:$A$1993,$A41)</f>
        <v>0</v>
      </c>
      <c r="H41" s="8">
        <f>SUMIFS(Dados!$I$1:$I$1993,Dados!$B$1:$B$1993,H$7,Dados!$A$1:$A$1993,$A41)</f>
        <v>0</v>
      </c>
      <c r="I41" s="8">
        <f t="shared" ref="I41:I96" si="6">SUM(C41:H41)</f>
        <v>0</v>
      </c>
      <c r="J41" s="8">
        <f t="shared" ref="J41:J72" si="7">ROUND(I41*$L$4,2)</f>
        <v>0</v>
      </c>
      <c r="K41" s="7">
        <f t="shared" ref="K41:K96" si="8">SUM(I41:J41)</f>
        <v>0</v>
      </c>
      <c r="L41" s="9">
        <f t="shared" si="5"/>
        <v>0</v>
      </c>
      <c r="N41" s="35"/>
    </row>
    <row r="42" spans="1:14" ht="24" customHeight="1" x14ac:dyDescent="0.25">
      <c r="A42" s="58">
        <f t="shared" ref="A42:A104" si="9">IF(DAY(A41)=20,DATE(YEAR(A41),MONTH(A41)+1,5),DATE(YEAR(A41),MONTH(A41),20))</f>
        <v>506</v>
      </c>
      <c r="B42" s="25">
        <f t="shared" ref="B42:B104" si="10">B41+1</f>
        <v>34</v>
      </c>
      <c r="C42" s="8">
        <f>SUMIFS(Dados!$I$1:$I$1993,Dados!$B$1:$B$1993,C$7,Dados!$A$1:$A$1993,$A42)</f>
        <v>0</v>
      </c>
      <c r="D42" s="8">
        <f>SUMIFS(Dados!$I$1:$I$1993,Dados!$B$1:$B$1993,D$7,Dados!$A$1:$A$1993,$A42)</f>
        <v>0</v>
      </c>
      <c r="E42" s="8">
        <f>SUMIFS(Dados!$I$1:$I$1993,Dados!$B$1:$B$1993,E$7,Dados!$A$1:$A$1993,$A42)</f>
        <v>0</v>
      </c>
      <c r="F42" s="8">
        <f>SUMIFS(Dados!$I$1:$I$1993,Dados!$B$1:$B$1993,F$7,Dados!$A$1:$A$1993,$A42)</f>
        <v>0</v>
      </c>
      <c r="G42" s="8">
        <f>SUMIFS(Dados!$I$1:$I$1993,Dados!$B$1:$B$1993,G$7,Dados!$A$1:$A$1993,$A42)</f>
        <v>0</v>
      </c>
      <c r="H42" s="8">
        <f>SUMIFS(Dados!$I$1:$I$1993,Dados!$B$1:$B$1993,H$7,Dados!$A$1:$A$1993,$A42)</f>
        <v>0</v>
      </c>
      <c r="I42" s="8">
        <f t="shared" si="6"/>
        <v>0</v>
      </c>
      <c r="J42" s="8">
        <f t="shared" si="7"/>
        <v>0</v>
      </c>
      <c r="K42" s="7">
        <f t="shared" si="8"/>
        <v>0</v>
      </c>
      <c r="L42" s="9">
        <f t="shared" ref="L42:L104" si="11">K42+L41</f>
        <v>0</v>
      </c>
      <c r="N42" s="35"/>
    </row>
    <row r="43" spans="1:14" ht="24" customHeight="1" x14ac:dyDescent="0.25">
      <c r="A43" s="58">
        <f t="shared" si="9"/>
        <v>522</v>
      </c>
      <c r="B43" s="25">
        <f t="shared" si="10"/>
        <v>35</v>
      </c>
      <c r="C43" s="8">
        <f>SUMIFS(Dados!$I$1:$I$1993,Dados!$B$1:$B$1993,C$7,Dados!$A$1:$A$1993,$A43)</f>
        <v>0</v>
      </c>
      <c r="D43" s="8">
        <f>SUMIFS(Dados!$I$1:$I$1993,Dados!$B$1:$B$1993,D$7,Dados!$A$1:$A$1993,$A43)</f>
        <v>0</v>
      </c>
      <c r="E43" s="8">
        <f>SUMIFS(Dados!$I$1:$I$1993,Dados!$B$1:$B$1993,E$7,Dados!$A$1:$A$1993,$A43)</f>
        <v>0</v>
      </c>
      <c r="F43" s="8">
        <f>SUMIFS(Dados!$I$1:$I$1993,Dados!$B$1:$B$1993,F$7,Dados!$A$1:$A$1993,$A43)</f>
        <v>0</v>
      </c>
      <c r="G43" s="8">
        <f>SUMIFS(Dados!$I$1:$I$1993,Dados!$B$1:$B$1993,G$7,Dados!$A$1:$A$1993,$A43)</f>
        <v>0</v>
      </c>
      <c r="H43" s="8">
        <f>SUMIFS(Dados!$I$1:$I$1993,Dados!$B$1:$B$1993,H$7,Dados!$A$1:$A$1993,$A43)</f>
        <v>0</v>
      </c>
      <c r="I43" s="8">
        <f t="shared" si="6"/>
        <v>0</v>
      </c>
      <c r="J43" s="8">
        <f t="shared" si="7"/>
        <v>0</v>
      </c>
      <c r="K43" s="7">
        <f t="shared" si="8"/>
        <v>0</v>
      </c>
      <c r="L43" s="9">
        <f t="shared" si="11"/>
        <v>0</v>
      </c>
      <c r="N43" s="35"/>
    </row>
    <row r="44" spans="1:14" ht="24" customHeight="1" x14ac:dyDescent="0.25">
      <c r="A44" s="58">
        <f t="shared" si="9"/>
        <v>537</v>
      </c>
      <c r="B44" s="25">
        <f t="shared" si="10"/>
        <v>36</v>
      </c>
      <c r="C44" s="8">
        <f>SUMIFS(Dados!$I$1:$I$1993,Dados!$B$1:$B$1993,C$7,Dados!$A$1:$A$1993,$A44)</f>
        <v>0</v>
      </c>
      <c r="D44" s="8">
        <f>SUMIFS(Dados!$I$1:$I$1993,Dados!$B$1:$B$1993,D$7,Dados!$A$1:$A$1993,$A44)</f>
        <v>0</v>
      </c>
      <c r="E44" s="8">
        <f>SUMIFS(Dados!$I$1:$I$1993,Dados!$B$1:$B$1993,E$7,Dados!$A$1:$A$1993,$A44)</f>
        <v>0</v>
      </c>
      <c r="F44" s="8">
        <f>SUMIFS(Dados!$I$1:$I$1993,Dados!$B$1:$B$1993,F$7,Dados!$A$1:$A$1993,$A44)</f>
        <v>0</v>
      </c>
      <c r="G44" s="8">
        <f>SUMIFS(Dados!$I$1:$I$1993,Dados!$B$1:$B$1993,G$7,Dados!$A$1:$A$1993,$A44)</f>
        <v>0</v>
      </c>
      <c r="H44" s="8">
        <f>SUMIFS(Dados!$I$1:$I$1993,Dados!$B$1:$B$1993,H$7,Dados!$A$1:$A$1993,$A44)</f>
        <v>0</v>
      </c>
      <c r="I44" s="8">
        <f t="shared" si="6"/>
        <v>0</v>
      </c>
      <c r="J44" s="8">
        <f t="shared" si="7"/>
        <v>0</v>
      </c>
      <c r="K44" s="7">
        <f t="shared" si="8"/>
        <v>0</v>
      </c>
      <c r="L44" s="9">
        <f t="shared" si="11"/>
        <v>0</v>
      </c>
      <c r="N44" s="35"/>
    </row>
    <row r="45" spans="1:14" ht="24" customHeight="1" x14ac:dyDescent="0.25">
      <c r="A45" s="58">
        <f t="shared" si="9"/>
        <v>552</v>
      </c>
      <c r="B45" s="25">
        <f t="shared" si="10"/>
        <v>37</v>
      </c>
      <c r="C45" s="8">
        <f>SUMIFS(Dados!$I$1:$I$1993,Dados!$B$1:$B$1993,C$7,Dados!$A$1:$A$1993,$A45)</f>
        <v>0</v>
      </c>
      <c r="D45" s="8">
        <f>SUMIFS(Dados!$I$1:$I$1993,Dados!$B$1:$B$1993,D$7,Dados!$A$1:$A$1993,$A45)</f>
        <v>0</v>
      </c>
      <c r="E45" s="8">
        <f>SUMIFS(Dados!$I$1:$I$1993,Dados!$B$1:$B$1993,E$7,Dados!$A$1:$A$1993,$A45)</f>
        <v>0</v>
      </c>
      <c r="F45" s="8">
        <f>SUMIFS(Dados!$I$1:$I$1993,Dados!$B$1:$B$1993,F$7,Dados!$A$1:$A$1993,$A45)</f>
        <v>0</v>
      </c>
      <c r="G45" s="8">
        <f>SUMIFS(Dados!$I$1:$I$1993,Dados!$B$1:$B$1993,G$7,Dados!$A$1:$A$1993,$A45)</f>
        <v>0</v>
      </c>
      <c r="H45" s="8">
        <f>SUMIFS(Dados!$I$1:$I$1993,Dados!$B$1:$B$1993,H$7,Dados!$A$1:$A$1993,$A45)</f>
        <v>0</v>
      </c>
      <c r="I45" s="8">
        <f t="shared" si="6"/>
        <v>0</v>
      </c>
      <c r="J45" s="8">
        <f t="shared" si="7"/>
        <v>0</v>
      </c>
      <c r="K45" s="7">
        <f t="shared" si="8"/>
        <v>0</v>
      </c>
      <c r="L45" s="9">
        <f t="shared" si="11"/>
        <v>0</v>
      </c>
      <c r="N45" s="35"/>
    </row>
    <row r="46" spans="1:14" ht="24" customHeight="1" x14ac:dyDescent="0.25">
      <c r="A46" s="58">
        <f t="shared" si="9"/>
        <v>567</v>
      </c>
      <c r="B46" s="25">
        <f t="shared" si="10"/>
        <v>38</v>
      </c>
      <c r="C46" s="8">
        <f>SUMIFS(Dados!$I$1:$I$1993,Dados!$B$1:$B$1993,C$7,Dados!$A$1:$A$1993,$A46)</f>
        <v>0</v>
      </c>
      <c r="D46" s="8">
        <f>SUMIFS(Dados!$I$1:$I$1993,Dados!$B$1:$B$1993,D$7,Dados!$A$1:$A$1993,$A46)</f>
        <v>0</v>
      </c>
      <c r="E46" s="8">
        <f>SUMIFS(Dados!$I$1:$I$1993,Dados!$B$1:$B$1993,E$7,Dados!$A$1:$A$1993,$A46)</f>
        <v>0</v>
      </c>
      <c r="F46" s="8">
        <f>SUMIFS(Dados!$I$1:$I$1993,Dados!$B$1:$B$1993,F$7,Dados!$A$1:$A$1993,$A46)</f>
        <v>0</v>
      </c>
      <c r="G46" s="8">
        <f>SUMIFS(Dados!$I$1:$I$1993,Dados!$B$1:$B$1993,G$7,Dados!$A$1:$A$1993,$A46)</f>
        <v>0</v>
      </c>
      <c r="H46" s="8">
        <f>SUMIFS(Dados!$I$1:$I$1993,Dados!$B$1:$B$1993,H$7,Dados!$A$1:$A$1993,$A46)</f>
        <v>0</v>
      </c>
      <c r="I46" s="8">
        <f t="shared" si="6"/>
        <v>0</v>
      </c>
      <c r="J46" s="8">
        <f t="shared" si="7"/>
        <v>0</v>
      </c>
      <c r="K46" s="7">
        <f t="shared" si="8"/>
        <v>0</v>
      </c>
      <c r="L46" s="9">
        <f t="shared" si="11"/>
        <v>0</v>
      </c>
      <c r="N46" s="35"/>
    </row>
    <row r="47" spans="1:14" ht="24" customHeight="1" x14ac:dyDescent="0.25">
      <c r="A47" s="58">
        <f t="shared" si="9"/>
        <v>583</v>
      </c>
      <c r="B47" s="25">
        <f t="shared" si="10"/>
        <v>39</v>
      </c>
      <c r="C47" s="8">
        <f>SUMIFS(Dados!$I$1:$I$1993,Dados!$B$1:$B$1993,C$7,Dados!$A$1:$A$1993,$A47)</f>
        <v>0</v>
      </c>
      <c r="D47" s="8">
        <f>SUMIFS(Dados!$I$1:$I$1993,Dados!$B$1:$B$1993,D$7,Dados!$A$1:$A$1993,$A47)</f>
        <v>0</v>
      </c>
      <c r="E47" s="8">
        <f>SUMIFS(Dados!$I$1:$I$1993,Dados!$B$1:$B$1993,E$7,Dados!$A$1:$A$1993,$A47)</f>
        <v>0</v>
      </c>
      <c r="F47" s="8">
        <f>SUMIFS(Dados!$I$1:$I$1993,Dados!$B$1:$B$1993,F$7,Dados!$A$1:$A$1993,$A47)</f>
        <v>0</v>
      </c>
      <c r="G47" s="8">
        <f>SUMIFS(Dados!$I$1:$I$1993,Dados!$B$1:$B$1993,G$7,Dados!$A$1:$A$1993,$A47)</f>
        <v>0</v>
      </c>
      <c r="H47" s="8">
        <f>SUMIFS(Dados!$I$1:$I$1993,Dados!$B$1:$B$1993,H$7,Dados!$A$1:$A$1993,$A47)</f>
        <v>0</v>
      </c>
      <c r="I47" s="8">
        <f t="shared" si="6"/>
        <v>0</v>
      </c>
      <c r="J47" s="8">
        <f t="shared" si="7"/>
        <v>0</v>
      </c>
      <c r="K47" s="7">
        <f t="shared" si="8"/>
        <v>0</v>
      </c>
      <c r="L47" s="9">
        <f t="shared" si="11"/>
        <v>0</v>
      </c>
      <c r="N47" s="35"/>
    </row>
    <row r="48" spans="1:14" ht="24" customHeight="1" x14ac:dyDescent="0.25">
      <c r="A48" s="58">
        <f t="shared" si="9"/>
        <v>598</v>
      </c>
      <c r="B48" s="25">
        <f t="shared" si="10"/>
        <v>40</v>
      </c>
      <c r="C48" s="8">
        <f>SUMIFS(Dados!$I$1:$I$1993,Dados!$B$1:$B$1993,C$7,Dados!$A$1:$A$1993,$A48)</f>
        <v>0</v>
      </c>
      <c r="D48" s="8">
        <f>SUMIFS(Dados!$I$1:$I$1993,Dados!$B$1:$B$1993,D$7,Dados!$A$1:$A$1993,$A48)</f>
        <v>0</v>
      </c>
      <c r="E48" s="8">
        <f>SUMIFS(Dados!$I$1:$I$1993,Dados!$B$1:$B$1993,E$7,Dados!$A$1:$A$1993,$A48)</f>
        <v>0</v>
      </c>
      <c r="F48" s="8">
        <f>SUMIFS(Dados!$I$1:$I$1993,Dados!$B$1:$B$1993,F$7,Dados!$A$1:$A$1993,$A48)</f>
        <v>0</v>
      </c>
      <c r="G48" s="8">
        <f>SUMIFS(Dados!$I$1:$I$1993,Dados!$B$1:$B$1993,G$7,Dados!$A$1:$A$1993,$A48)</f>
        <v>0</v>
      </c>
      <c r="H48" s="8">
        <f>SUMIFS(Dados!$I$1:$I$1993,Dados!$B$1:$B$1993,H$7,Dados!$A$1:$A$1993,$A48)</f>
        <v>0</v>
      </c>
      <c r="I48" s="8">
        <f t="shared" si="6"/>
        <v>0</v>
      </c>
      <c r="J48" s="8">
        <f t="shared" si="7"/>
        <v>0</v>
      </c>
      <c r="K48" s="7">
        <f t="shared" si="8"/>
        <v>0</v>
      </c>
      <c r="L48" s="9">
        <f t="shared" si="11"/>
        <v>0</v>
      </c>
      <c r="N48" s="35"/>
    </row>
    <row r="49" spans="1:14" ht="24" customHeight="1" x14ac:dyDescent="0.25">
      <c r="A49" s="58">
        <f t="shared" si="9"/>
        <v>614</v>
      </c>
      <c r="B49" s="25">
        <f t="shared" si="10"/>
        <v>41</v>
      </c>
      <c r="C49" s="8">
        <f>SUMIFS(Dados!$I$1:$I$1993,Dados!$B$1:$B$1993,C$7,Dados!$A$1:$A$1993,$A49)</f>
        <v>0</v>
      </c>
      <c r="D49" s="8">
        <f>SUMIFS(Dados!$I$1:$I$1993,Dados!$B$1:$B$1993,D$7,Dados!$A$1:$A$1993,$A49)</f>
        <v>0</v>
      </c>
      <c r="E49" s="8">
        <f>SUMIFS(Dados!$I$1:$I$1993,Dados!$B$1:$B$1993,E$7,Dados!$A$1:$A$1993,$A49)</f>
        <v>0</v>
      </c>
      <c r="F49" s="8">
        <f>SUMIFS(Dados!$I$1:$I$1993,Dados!$B$1:$B$1993,F$7,Dados!$A$1:$A$1993,$A49)</f>
        <v>0</v>
      </c>
      <c r="G49" s="8">
        <f>SUMIFS(Dados!$I$1:$I$1993,Dados!$B$1:$B$1993,G$7,Dados!$A$1:$A$1993,$A49)</f>
        <v>0</v>
      </c>
      <c r="H49" s="8">
        <f>SUMIFS(Dados!$I$1:$I$1993,Dados!$B$1:$B$1993,H$7,Dados!$A$1:$A$1993,$A49)</f>
        <v>0</v>
      </c>
      <c r="I49" s="8">
        <f t="shared" si="6"/>
        <v>0</v>
      </c>
      <c r="J49" s="8">
        <f t="shared" si="7"/>
        <v>0</v>
      </c>
      <c r="K49" s="7">
        <f t="shared" si="8"/>
        <v>0</v>
      </c>
      <c r="L49" s="9">
        <f t="shared" si="11"/>
        <v>0</v>
      </c>
      <c r="N49" s="35"/>
    </row>
    <row r="50" spans="1:14" ht="24" customHeight="1" x14ac:dyDescent="0.25">
      <c r="A50" s="58">
        <f t="shared" si="9"/>
        <v>629</v>
      </c>
      <c r="B50" s="25">
        <f t="shared" si="10"/>
        <v>42</v>
      </c>
      <c r="C50" s="8">
        <f>SUMIFS(Dados!$I$1:$I$1993,Dados!$B$1:$B$1993,C$7,Dados!$A$1:$A$1993,$A50)</f>
        <v>0</v>
      </c>
      <c r="D50" s="8">
        <f>SUMIFS(Dados!$I$1:$I$1993,Dados!$B$1:$B$1993,D$7,Dados!$A$1:$A$1993,$A50)</f>
        <v>0</v>
      </c>
      <c r="E50" s="8">
        <f>SUMIFS(Dados!$I$1:$I$1993,Dados!$B$1:$B$1993,E$7,Dados!$A$1:$A$1993,$A50)</f>
        <v>0</v>
      </c>
      <c r="F50" s="8">
        <f>SUMIFS(Dados!$I$1:$I$1993,Dados!$B$1:$B$1993,F$7,Dados!$A$1:$A$1993,$A50)</f>
        <v>0</v>
      </c>
      <c r="G50" s="8">
        <f>SUMIFS(Dados!$I$1:$I$1993,Dados!$B$1:$B$1993,G$7,Dados!$A$1:$A$1993,$A50)</f>
        <v>0</v>
      </c>
      <c r="H50" s="8">
        <f>SUMIFS(Dados!$I$1:$I$1993,Dados!$B$1:$B$1993,H$7,Dados!$A$1:$A$1993,$A50)</f>
        <v>0</v>
      </c>
      <c r="I50" s="8">
        <f t="shared" si="6"/>
        <v>0</v>
      </c>
      <c r="J50" s="8">
        <f t="shared" si="7"/>
        <v>0</v>
      </c>
      <c r="K50" s="7">
        <f t="shared" si="8"/>
        <v>0</v>
      </c>
      <c r="L50" s="9">
        <f t="shared" si="11"/>
        <v>0</v>
      </c>
      <c r="N50" s="35"/>
    </row>
    <row r="51" spans="1:14" ht="24" customHeight="1" x14ac:dyDescent="0.25">
      <c r="A51" s="58">
        <f t="shared" si="9"/>
        <v>644</v>
      </c>
      <c r="B51" s="25">
        <f t="shared" si="10"/>
        <v>43</v>
      </c>
      <c r="C51" s="8">
        <f>SUMIFS(Dados!$I$1:$I$1993,Dados!$B$1:$B$1993,C$7,Dados!$A$1:$A$1993,$A51)</f>
        <v>0</v>
      </c>
      <c r="D51" s="8">
        <f>SUMIFS(Dados!$I$1:$I$1993,Dados!$B$1:$B$1993,D$7,Dados!$A$1:$A$1993,$A51)</f>
        <v>0</v>
      </c>
      <c r="E51" s="8">
        <f>SUMIFS(Dados!$I$1:$I$1993,Dados!$B$1:$B$1993,E$7,Dados!$A$1:$A$1993,$A51)</f>
        <v>0</v>
      </c>
      <c r="F51" s="8">
        <f>SUMIFS(Dados!$I$1:$I$1993,Dados!$B$1:$B$1993,F$7,Dados!$A$1:$A$1993,$A51)</f>
        <v>0</v>
      </c>
      <c r="G51" s="8">
        <f>SUMIFS(Dados!$I$1:$I$1993,Dados!$B$1:$B$1993,G$7,Dados!$A$1:$A$1993,$A51)</f>
        <v>0</v>
      </c>
      <c r="H51" s="8">
        <f>SUMIFS(Dados!$I$1:$I$1993,Dados!$B$1:$B$1993,H$7,Dados!$A$1:$A$1993,$A51)</f>
        <v>0</v>
      </c>
      <c r="I51" s="8">
        <f t="shared" si="6"/>
        <v>0</v>
      </c>
      <c r="J51" s="8">
        <f t="shared" si="7"/>
        <v>0</v>
      </c>
      <c r="K51" s="7">
        <f t="shared" si="8"/>
        <v>0</v>
      </c>
      <c r="L51" s="9">
        <f t="shared" si="11"/>
        <v>0</v>
      </c>
      <c r="N51" s="35"/>
    </row>
    <row r="52" spans="1:14" ht="24" customHeight="1" x14ac:dyDescent="0.25">
      <c r="A52" s="58">
        <f t="shared" si="9"/>
        <v>659</v>
      </c>
      <c r="B52" s="25">
        <f t="shared" si="10"/>
        <v>44</v>
      </c>
      <c r="C52" s="8">
        <f>SUMIFS(Dados!$I$1:$I$1993,Dados!$B$1:$B$1993,C$7,Dados!$A$1:$A$1993,$A52)</f>
        <v>0</v>
      </c>
      <c r="D52" s="8">
        <f>SUMIFS(Dados!$I$1:$I$1993,Dados!$B$1:$B$1993,D$7,Dados!$A$1:$A$1993,$A52)</f>
        <v>0</v>
      </c>
      <c r="E52" s="8">
        <f>SUMIFS(Dados!$I$1:$I$1993,Dados!$B$1:$B$1993,E$7,Dados!$A$1:$A$1993,$A52)</f>
        <v>0</v>
      </c>
      <c r="F52" s="8">
        <f>SUMIFS(Dados!$I$1:$I$1993,Dados!$B$1:$B$1993,F$7,Dados!$A$1:$A$1993,$A52)</f>
        <v>0</v>
      </c>
      <c r="G52" s="8">
        <f>SUMIFS(Dados!$I$1:$I$1993,Dados!$B$1:$B$1993,G$7,Dados!$A$1:$A$1993,$A52)</f>
        <v>0</v>
      </c>
      <c r="H52" s="8">
        <f>SUMIFS(Dados!$I$1:$I$1993,Dados!$B$1:$B$1993,H$7,Dados!$A$1:$A$1993,$A52)</f>
        <v>0</v>
      </c>
      <c r="I52" s="8">
        <f t="shared" si="6"/>
        <v>0</v>
      </c>
      <c r="J52" s="8">
        <f t="shared" si="7"/>
        <v>0</v>
      </c>
      <c r="K52" s="7">
        <f t="shared" si="8"/>
        <v>0</v>
      </c>
      <c r="L52" s="9">
        <f t="shared" si="11"/>
        <v>0</v>
      </c>
      <c r="N52" s="35"/>
    </row>
    <row r="53" spans="1:14" ht="24" customHeight="1" x14ac:dyDescent="0.25">
      <c r="A53" s="58">
        <f t="shared" si="9"/>
        <v>675</v>
      </c>
      <c r="B53" s="25">
        <f t="shared" si="10"/>
        <v>45</v>
      </c>
      <c r="C53" s="8">
        <f>SUMIFS(Dados!$I$1:$I$1993,Dados!$B$1:$B$1993,C$7,Dados!$A$1:$A$1993,$A53)</f>
        <v>0</v>
      </c>
      <c r="D53" s="8">
        <f>SUMIFS(Dados!$I$1:$I$1993,Dados!$B$1:$B$1993,D$7,Dados!$A$1:$A$1993,$A53)</f>
        <v>0</v>
      </c>
      <c r="E53" s="8">
        <f>SUMIFS(Dados!$I$1:$I$1993,Dados!$B$1:$B$1993,E$7,Dados!$A$1:$A$1993,$A53)</f>
        <v>0</v>
      </c>
      <c r="F53" s="8">
        <f>SUMIFS(Dados!$I$1:$I$1993,Dados!$B$1:$B$1993,F$7,Dados!$A$1:$A$1993,$A53)</f>
        <v>0</v>
      </c>
      <c r="G53" s="8">
        <f>SUMIFS(Dados!$I$1:$I$1993,Dados!$B$1:$B$1993,G$7,Dados!$A$1:$A$1993,$A53)</f>
        <v>0</v>
      </c>
      <c r="H53" s="8">
        <f>SUMIFS(Dados!$I$1:$I$1993,Dados!$B$1:$B$1993,H$7,Dados!$A$1:$A$1993,$A53)</f>
        <v>0</v>
      </c>
      <c r="I53" s="8">
        <f t="shared" si="6"/>
        <v>0</v>
      </c>
      <c r="J53" s="8">
        <f t="shared" si="7"/>
        <v>0</v>
      </c>
      <c r="K53" s="7">
        <f t="shared" si="8"/>
        <v>0</v>
      </c>
      <c r="L53" s="9">
        <f t="shared" si="11"/>
        <v>0</v>
      </c>
      <c r="N53" s="35"/>
    </row>
    <row r="54" spans="1:14" ht="24" customHeight="1" x14ac:dyDescent="0.25">
      <c r="A54" s="58">
        <f t="shared" si="9"/>
        <v>690</v>
      </c>
      <c r="B54" s="25">
        <f t="shared" si="10"/>
        <v>46</v>
      </c>
      <c r="C54" s="8">
        <f>SUMIFS(Dados!$I$1:$I$1993,Dados!$B$1:$B$1993,C$7,Dados!$A$1:$A$1993,$A54)</f>
        <v>0</v>
      </c>
      <c r="D54" s="8">
        <f>SUMIFS(Dados!$I$1:$I$1993,Dados!$B$1:$B$1993,D$7,Dados!$A$1:$A$1993,$A54)</f>
        <v>0</v>
      </c>
      <c r="E54" s="8">
        <f>SUMIFS(Dados!$I$1:$I$1993,Dados!$B$1:$B$1993,E$7,Dados!$A$1:$A$1993,$A54)</f>
        <v>0</v>
      </c>
      <c r="F54" s="8">
        <f>SUMIFS(Dados!$I$1:$I$1993,Dados!$B$1:$B$1993,F$7,Dados!$A$1:$A$1993,$A54)</f>
        <v>0</v>
      </c>
      <c r="G54" s="8">
        <f>SUMIFS(Dados!$I$1:$I$1993,Dados!$B$1:$B$1993,G$7,Dados!$A$1:$A$1993,$A54)</f>
        <v>0</v>
      </c>
      <c r="H54" s="8">
        <f>SUMIFS(Dados!$I$1:$I$1993,Dados!$B$1:$B$1993,H$7,Dados!$A$1:$A$1993,$A54)</f>
        <v>0</v>
      </c>
      <c r="I54" s="8">
        <f t="shared" si="6"/>
        <v>0</v>
      </c>
      <c r="J54" s="8">
        <f t="shared" si="7"/>
        <v>0</v>
      </c>
      <c r="K54" s="7">
        <f t="shared" si="8"/>
        <v>0</v>
      </c>
      <c r="L54" s="9">
        <f t="shared" si="11"/>
        <v>0</v>
      </c>
      <c r="N54" s="35"/>
    </row>
    <row r="55" spans="1:14" ht="24" customHeight="1" x14ac:dyDescent="0.25">
      <c r="A55" s="58">
        <f t="shared" si="9"/>
        <v>705</v>
      </c>
      <c r="B55" s="25">
        <f t="shared" si="10"/>
        <v>47</v>
      </c>
      <c r="C55" s="8">
        <f>SUMIFS(Dados!$I$1:$I$1993,Dados!$B$1:$B$1993,C$7,Dados!$A$1:$A$1993,$A55)</f>
        <v>0</v>
      </c>
      <c r="D55" s="8">
        <f>SUMIFS(Dados!$I$1:$I$1993,Dados!$B$1:$B$1993,D$7,Dados!$A$1:$A$1993,$A55)</f>
        <v>0</v>
      </c>
      <c r="E55" s="8">
        <f>SUMIFS(Dados!$I$1:$I$1993,Dados!$B$1:$B$1993,E$7,Dados!$A$1:$A$1993,$A55)</f>
        <v>0</v>
      </c>
      <c r="F55" s="8">
        <f>SUMIFS(Dados!$I$1:$I$1993,Dados!$B$1:$B$1993,F$7,Dados!$A$1:$A$1993,$A55)</f>
        <v>0</v>
      </c>
      <c r="G55" s="8">
        <f>SUMIFS(Dados!$I$1:$I$1993,Dados!$B$1:$B$1993,G$7,Dados!$A$1:$A$1993,$A55)</f>
        <v>0</v>
      </c>
      <c r="H55" s="8">
        <f>SUMIFS(Dados!$I$1:$I$1993,Dados!$B$1:$B$1993,H$7,Dados!$A$1:$A$1993,$A55)</f>
        <v>0</v>
      </c>
      <c r="I55" s="8">
        <f t="shared" si="6"/>
        <v>0</v>
      </c>
      <c r="J55" s="8">
        <f t="shared" si="7"/>
        <v>0</v>
      </c>
      <c r="K55" s="7">
        <f t="shared" si="8"/>
        <v>0</v>
      </c>
      <c r="L55" s="9">
        <f t="shared" si="11"/>
        <v>0</v>
      </c>
      <c r="N55" s="35"/>
    </row>
    <row r="56" spans="1:14" ht="24" customHeight="1" x14ac:dyDescent="0.25">
      <c r="A56" s="58">
        <f t="shared" si="9"/>
        <v>720</v>
      </c>
      <c r="B56" s="25">
        <f t="shared" si="10"/>
        <v>48</v>
      </c>
      <c r="C56" s="8">
        <f>SUMIFS(Dados!$I$1:$I$1993,Dados!$B$1:$B$1993,C$7,Dados!$A$1:$A$1993,$A56)</f>
        <v>0</v>
      </c>
      <c r="D56" s="8">
        <f>SUMIFS(Dados!$I$1:$I$1993,Dados!$B$1:$B$1993,D$7,Dados!$A$1:$A$1993,$A56)</f>
        <v>0</v>
      </c>
      <c r="E56" s="8">
        <f>SUMIFS(Dados!$I$1:$I$1993,Dados!$B$1:$B$1993,E$7,Dados!$A$1:$A$1993,$A56)</f>
        <v>0</v>
      </c>
      <c r="F56" s="8">
        <f>SUMIFS(Dados!$I$1:$I$1993,Dados!$B$1:$B$1993,F$7,Dados!$A$1:$A$1993,$A56)</f>
        <v>0</v>
      </c>
      <c r="G56" s="8">
        <f>SUMIFS(Dados!$I$1:$I$1993,Dados!$B$1:$B$1993,G$7,Dados!$A$1:$A$1993,$A56)</f>
        <v>0</v>
      </c>
      <c r="H56" s="8">
        <f>SUMIFS(Dados!$I$1:$I$1993,Dados!$B$1:$B$1993,H$7,Dados!$A$1:$A$1993,$A56)</f>
        <v>0</v>
      </c>
      <c r="I56" s="8">
        <f t="shared" si="6"/>
        <v>0</v>
      </c>
      <c r="J56" s="8">
        <f t="shared" si="7"/>
        <v>0</v>
      </c>
      <c r="K56" s="7">
        <f t="shared" si="8"/>
        <v>0</v>
      </c>
      <c r="L56" s="9">
        <f t="shared" si="11"/>
        <v>0</v>
      </c>
      <c r="N56" s="35"/>
    </row>
    <row r="57" spans="1:14" ht="24" customHeight="1" x14ac:dyDescent="0.25">
      <c r="A57" s="58">
        <f t="shared" si="9"/>
        <v>736</v>
      </c>
      <c r="B57" s="25">
        <f t="shared" si="10"/>
        <v>49</v>
      </c>
      <c r="C57" s="8">
        <f>SUMIFS(Dados!$I$1:$I$1993,Dados!$B$1:$B$1993,C$7,Dados!$A$1:$A$1993,$A57)</f>
        <v>0</v>
      </c>
      <c r="D57" s="8">
        <f>SUMIFS(Dados!$I$1:$I$1993,Dados!$B$1:$B$1993,D$7,Dados!$A$1:$A$1993,$A57)</f>
        <v>0</v>
      </c>
      <c r="E57" s="8">
        <f>SUMIFS(Dados!$I$1:$I$1993,Dados!$B$1:$B$1993,E$7,Dados!$A$1:$A$1993,$A57)</f>
        <v>0</v>
      </c>
      <c r="F57" s="8">
        <f>SUMIFS(Dados!$I$1:$I$1993,Dados!$B$1:$B$1993,F$7,Dados!$A$1:$A$1993,$A57)</f>
        <v>0</v>
      </c>
      <c r="G57" s="8">
        <f>SUMIFS(Dados!$I$1:$I$1993,Dados!$B$1:$B$1993,G$7,Dados!$A$1:$A$1993,$A57)</f>
        <v>0</v>
      </c>
      <c r="H57" s="8">
        <f>SUMIFS(Dados!$I$1:$I$1993,Dados!$B$1:$B$1993,H$7,Dados!$A$1:$A$1993,$A57)</f>
        <v>0</v>
      </c>
      <c r="I57" s="8">
        <f t="shared" ref="I57:I80" si="12">SUM(C57:H57)</f>
        <v>0</v>
      </c>
      <c r="J57" s="8">
        <f t="shared" si="7"/>
        <v>0</v>
      </c>
      <c r="K57" s="7">
        <f t="shared" ref="K57:K80" si="13">SUM(I57:J57)</f>
        <v>0</v>
      </c>
      <c r="L57" s="9">
        <f t="shared" si="11"/>
        <v>0</v>
      </c>
      <c r="N57" s="35"/>
    </row>
    <row r="58" spans="1:14" ht="24" customHeight="1" x14ac:dyDescent="0.25">
      <c r="A58" s="58">
        <f t="shared" si="9"/>
        <v>751</v>
      </c>
      <c r="B58" s="25">
        <f t="shared" si="10"/>
        <v>50</v>
      </c>
      <c r="C58" s="8">
        <f>SUMIFS(Dados!$I$1:$I$1993,Dados!$B$1:$B$1993,C$7,Dados!$A$1:$A$1993,$A58)</f>
        <v>0</v>
      </c>
      <c r="D58" s="8">
        <f>SUMIFS(Dados!$I$1:$I$1993,Dados!$B$1:$B$1993,D$7,Dados!$A$1:$A$1993,$A58)</f>
        <v>0</v>
      </c>
      <c r="E58" s="8">
        <f>SUMIFS(Dados!$I$1:$I$1993,Dados!$B$1:$B$1993,E$7,Dados!$A$1:$A$1993,$A58)</f>
        <v>0</v>
      </c>
      <c r="F58" s="8">
        <f>SUMIFS(Dados!$I$1:$I$1993,Dados!$B$1:$B$1993,F$7,Dados!$A$1:$A$1993,$A58)</f>
        <v>0</v>
      </c>
      <c r="G58" s="8">
        <f>SUMIFS(Dados!$I$1:$I$1993,Dados!$B$1:$B$1993,G$7,Dados!$A$1:$A$1993,$A58)</f>
        <v>0</v>
      </c>
      <c r="H58" s="8">
        <f>SUMIFS(Dados!$I$1:$I$1993,Dados!$B$1:$B$1993,H$7,Dados!$A$1:$A$1993,$A58)</f>
        <v>0</v>
      </c>
      <c r="I58" s="8">
        <f t="shared" si="12"/>
        <v>0</v>
      </c>
      <c r="J58" s="8">
        <f t="shared" si="7"/>
        <v>0</v>
      </c>
      <c r="K58" s="7">
        <f t="shared" si="13"/>
        <v>0</v>
      </c>
      <c r="L58" s="9">
        <f t="shared" si="11"/>
        <v>0</v>
      </c>
      <c r="N58" s="35"/>
    </row>
    <row r="59" spans="1:14" ht="24" customHeight="1" x14ac:dyDescent="0.25">
      <c r="A59" s="58">
        <f t="shared" si="9"/>
        <v>767</v>
      </c>
      <c r="B59" s="25">
        <f t="shared" si="10"/>
        <v>51</v>
      </c>
      <c r="C59" s="8">
        <f>SUMIFS(Dados!$I$1:$I$1993,Dados!$B$1:$B$1993,C$7,Dados!$A$1:$A$1993,$A59)</f>
        <v>0</v>
      </c>
      <c r="D59" s="8">
        <f>SUMIFS(Dados!$I$1:$I$1993,Dados!$B$1:$B$1993,D$7,Dados!$A$1:$A$1993,$A59)</f>
        <v>0</v>
      </c>
      <c r="E59" s="8">
        <f>SUMIFS(Dados!$I$1:$I$1993,Dados!$B$1:$B$1993,E$7,Dados!$A$1:$A$1993,$A59)</f>
        <v>0</v>
      </c>
      <c r="F59" s="8">
        <f>SUMIFS(Dados!$I$1:$I$1993,Dados!$B$1:$B$1993,F$7,Dados!$A$1:$A$1993,$A59)</f>
        <v>0</v>
      </c>
      <c r="G59" s="8">
        <f>SUMIFS(Dados!$I$1:$I$1993,Dados!$B$1:$B$1993,G$7,Dados!$A$1:$A$1993,$A59)</f>
        <v>0</v>
      </c>
      <c r="H59" s="8">
        <f>SUMIFS(Dados!$I$1:$I$1993,Dados!$B$1:$B$1993,H$7,Dados!$A$1:$A$1993,$A59)</f>
        <v>0</v>
      </c>
      <c r="I59" s="8">
        <f t="shared" si="12"/>
        <v>0</v>
      </c>
      <c r="J59" s="8">
        <f t="shared" si="7"/>
        <v>0</v>
      </c>
      <c r="K59" s="7">
        <f t="shared" si="13"/>
        <v>0</v>
      </c>
      <c r="L59" s="9">
        <f t="shared" si="11"/>
        <v>0</v>
      </c>
      <c r="N59" s="35"/>
    </row>
    <row r="60" spans="1:14" ht="24" customHeight="1" x14ac:dyDescent="0.25">
      <c r="A60" s="58">
        <f t="shared" si="9"/>
        <v>782</v>
      </c>
      <c r="B60" s="25">
        <f t="shared" si="10"/>
        <v>52</v>
      </c>
      <c r="C60" s="8">
        <f>SUMIFS(Dados!$I$1:$I$1993,Dados!$B$1:$B$1993,C$7,Dados!$A$1:$A$1993,$A60)</f>
        <v>0</v>
      </c>
      <c r="D60" s="8">
        <f>SUMIFS(Dados!$I$1:$I$1993,Dados!$B$1:$B$1993,D$7,Dados!$A$1:$A$1993,$A60)</f>
        <v>0</v>
      </c>
      <c r="E60" s="8">
        <f>SUMIFS(Dados!$I$1:$I$1993,Dados!$B$1:$B$1993,E$7,Dados!$A$1:$A$1993,$A60)</f>
        <v>0</v>
      </c>
      <c r="F60" s="8">
        <f>SUMIFS(Dados!$I$1:$I$1993,Dados!$B$1:$B$1993,F$7,Dados!$A$1:$A$1993,$A60)</f>
        <v>0</v>
      </c>
      <c r="G60" s="8">
        <f>SUMIFS(Dados!$I$1:$I$1993,Dados!$B$1:$B$1993,G$7,Dados!$A$1:$A$1993,$A60)</f>
        <v>0</v>
      </c>
      <c r="H60" s="8">
        <f>SUMIFS(Dados!$I$1:$I$1993,Dados!$B$1:$B$1993,H$7,Dados!$A$1:$A$1993,$A60)</f>
        <v>0</v>
      </c>
      <c r="I60" s="8">
        <f t="shared" si="12"/>
        <v>0</v>
      </c>
      <c r="J60" s="8">
        <f t="shared" si="7"/>
        <v>0</v>
      </c>
      <c r="K60" s="7">
        <f t="shared" si="13"/>
        <v>0</v>
      </c>
      <c r="L60" s="9">
        <f t="shared" si="11"/>
        <v>0</v>
      </c>
      <c r="N60" s="35"/>
    </row>
    <row r="61" spans="1:14" ht="24" customHeight="1" x14ac:dyDescent="0.25">
      <c r="A61" s="58">
        <f t="shared" si="9"/>
        <v>795</v>
      </c>
      <c r="B61" s="25">
        <f t="shared" si="10"/>
        <v>53</v>
      </c>
      <c r="C61" s="8">
        <f>SUMIFS(Dados!$I$1:$I$1993,Dados!$B$1:$B$1993,C$7,Dados!$A$1:$A$1993,$A61)</f>
        <v>0</v>
      </c>
      <c r="D61" s="8">
        <f>SUMIFS(Dados!$I$1:$I$1993,Dados!$B$1:$B$1993,D$7,Dados!$A$1:$A$1993,$A61)</f>
        <v>0</v>
      </c>
      <c r="E61" s="8">
        <f>SUMIFS(Dados!$I$1:$I$1993,Dados!$B$1:$B$1993,E$7,Dados!$A$1:$A$1993,$A61)</f>
        <v>0</v>
      </c>
      <c r="F61" s="8">
        <f>SUMIFS(Dados!$I$1:$I$1993,Dados!$B$1:$B$1993,F$7,Dados!$A$1:$A$1993,$A61)</f>
        <v>0</v>
      </c>
      <c r="G61" s="8">
        <f>SUMIFS(Dados!$I$1:$I$1993,Dados!$B$1:$B$1993,G$7,Dados!$A$1:$A$1993,$A61)</f>
        <v>0</v>
      </c>
      <c r="H61" s="8">
        <f>SUMIFS(Dados!$I$1:$I$1993,Dados!$B$1:$B$1993,H$7,Dados!$A$1:$A$1993,$A61)</f>
        <v>0</v>
      </c>
      <c r="I61" s="8">
        <f t="shared" si="12"/>
        <v>0</v>
      </c>
      <c r="J61" s="8">
        <f t="shared" si="7"/>
        <v>0</v>
      </c>
      <c r="K61" s="7">
        <f t="shared" si="13"/>
        <v>0</v>
      </c>
      <c r="L61" s="9">
        <f t="shared" si="11"/>
        <v>0</v>
      </c>
      <c r="N61" s="35"/>
    </row>
    <row r="62" spans="1:14" ht="24" customHeight="1" x14ac:dyDescent="0.25">
      <c r="A62" s="58">
        <f t="shared" si="9"/>
        <v>810</v>
      </c>
      <c r="B62" s="25">
        <f t="shared" si="10"/>
        <v>54</v>
      </c>
      <c r="C62" s="8">
        <f>SUMIFS(Dados!$I$1:$I$1993,Dados!$B$1:$B$1993,C$7,Dados!$A$1:$A$1993,$A62)</f>
        <v>0</v>
      </c>
      <c r="D62" s="8">
        <f>SUMIFS(Dados!$I$1:$I$1993,Dados!$B$1:$B$1993,D$7,Dados!$A$1:$A$1993,$A62)</f>
        <v>0</v>
      </c>
      <c r="E62" s="8">
        <f>SUMIFS(Dados!$I$1:$I$1993,Dados!$B$1:$B$1993,E$7,Dados!$A$1:$A$1993,$A62)</f>
        <v>0</v>
      </c>
      <c r="F62" s="8">
        <f>SUMIFS(Dados!$I$1:$I$1993,Dados!$B$1:$B$1993,F$7,Dados!$A$1:$A$1993,$A62)</f>
        <v>0</v>
      </c>
      <c r="G62" s="8">
        <f>SUMIFS(Dados!$I$1:$I$1993,Dados!$B$1:$B$1993,G$7,Dados!$A$1:$A$1993,$A62)</f>
        <v>0</v>
      </c>
      <c r="H62" s="8">
        <f>SUMIFS(Dados!$I$1:$I$1993,Dados!$B$1:$B$1993,H$7,Dados!$A$1:$A$1993,$A62)</f>
        <v>0</v>
      </c>
      <c r="I62" s="8">
        <f t="shared" si="12"/>
        <v>0</v>
      </c>
      <c r="J62" s="8">
        <f t="shared" si="7"/>
        <v>0</v>
      </c>
      <c r="K62" s="7">
        <f t="shared" si="13"/>
        <v>0</v>
      </c>
      <c r="L62" s="9">
        <f t="shared" si="11"/>
        <v>0</v>
      </c>
      <c r="N62" s="35"/>
    </row>
    <row r="63" spans="1:14" ht="24" customHeight="1" x14ac:dyDescent="0.25">
      <c r="A63" s="58">
        <f t="shared" si="9"/>
        <v>826</v>
      </c>
      <c r="B63" s="25">
        <f t="shared" si="10"/>
        <v>55</v>
      </c>
      <c r="C63" s="8">
        <f>SUMIFS(Dados!$I$1:$I$1993,Dados!$B$1:$B$1993,C$7,Dados!$A$1:$A$1993,$A63)</f>
        <v>0</v>
      </c>
      <c r="D63" s="8">
        <f>SUMIFS(Dados!$I$1:$I$1993,Dados!$B$1:$B$1993,D$7,Dados!$A$1:$A$1993,$A63)</f>
        <v>0</v>
      </c>
      <c r="E63" s="8">
        <f>SUMIFS(Dados!$I$1:$I$1993,Dados!$B$1:$B$1993,E$7,Dados!$A$1:$A$1993,$A63)</f>
        <v>0</v>
      </c>
      <c r="F63" s="8">
        <f>SUMIFS(Dados!$I$1:$I$1993,Dados!$B$1:$B$1993,F$7,Dados!$A$1:$A$1993,$A63)</f>
        <v>0</v>
      </c>
      <c r="G63" s="8">
        <f>SUMIFS(Dados!$I$1:$I$1993,Dados!$B$1:$B$1993,G$7,Dados!$A$1:$A$1993,$A63)</f>
        <v>0</v>
      </c>
      <c r="H63" s="8">
        <f>SUMIFS(Dados!$I$1:$I$1993,Dados!$B$1:$B$1993,H$7,Dados!$A$1:$A$1993,$A63)</f>
        <v>0</v>
      </c>
      <c r="I63" s="8">
        <f t="shared" si="12"/>
        <v>0</v>
      </c>
      <c r="J63" s="8">
        <f t="shared" si="7"/>
        <v>0</v>
      </c>
      <c r="K63" s="7">
        <f t="shared" si="13"/>
        <v>0</v>
      </c>
      <c r="L63" s="9">
        <f t="shared" si="11"/>
        <v>0</v>
      </c>
      <c r="N63" s="35"/>
    </row>
    <row r="64" spans="1:14" ht="24" customHeight="1" x14ac:dyDescent="0.25">
      <c r="A64" s="58">
        <f t="shared" si="9"/>
        <v>841</v>
      </c>
      <c r="B64" s="25">
        <f t="shared" si="10"/>
        <v>56</v>
      </c>
      <c r="C64" s="8">
        <f>SUMIFS(Dados!$I$1:$I$1993,Dados!$B$1:$B$1993,C$7,Dados!$A$1:$A$1993,$A64)</f>
        <v>0</v>
      </c>
      <c r="D64" s="8">
        <f>SUMIFS(Dados!$I$1:$I$1993,Dados!$B$1:$B$1993,D$7,Dados!$A$1:$A$1993,$A64)</f>
        <v>0</v>
      </c>
      <c r="E64" s="8">
        <f>SUMIFS(Dados!$I$1:$I$1993,Dados!$B$1:$B$1993,E$7,Dados!$A$1:$A$1993,$A64)</f>
        <v>0</v>
      </c>
      <c r="F64" s="8">
        <f>SUMIFS(Dados!$I$1:$I$1993,Dados!$B$1:$B$1993,F$7,Dados!$A$1:$A$1993,$A64)</f>
        <v>0</v>
      </c>
      <c r="G64" s="8">
        <f>SUMIFS(Dados!$I$1:$I$1993,Dados!$B$1:$B$1993,G$7,Dados!$A$1:$A$1993,$A64)</f>
        <v>0</v>
      </c>
      <c r="H64" s="8">
        <f>SUMIFS(Dados!$I$1:$I$1993,Dados!$B$1:$B$1993,H$7,Dados!$A$1:$A$1993,$A64)</f>
        <v>0</v>
      </c>
      <c r="I64" s="8">
        <f t="shared" si="12"/>
        <v>0</v>
      </c>
      <c r="J64" s="8">
        <f t="shared" si="7"/>
        <v>0</v>
      </c>
      <c r="K64" s="7">
        <f t="shared" si="13"/>
        <v>0</v>
      </c>
      <c r="L64" s="9">
        <f t="shared" si="11"/>
        <v>0</v>
      </c>
      <c r="N64" s="35"/>
    </row>
    <row r="65" spans="1:14" ht="24" customHeight="1" x14ac:dyDescent="0.25">
      <c r="A65" s="58">
        <f t="shared" si="9"/>
        <v>856</v>
      </c>
      <c r="B65" s="25">
        <f t="shared" si="10"/>
        <v>57</v>
      </c>
      <c r="C65" s="8">
        <f>SUMIFS(Dados!$I$1:$I$1993,Dados!$B$1:$B$1993,C$7,Dados!$A$1:$A$1993,$A65)</f>
        <v>0</v>
      </c>
      <c r="D65" s="8">
        <f>SUMIFS(Dados!$I$1:$I$1993,Dados!$B$1:$B$1993,D$7,Dados!$A$1:$A$1993,$A65)</f>
        <v>0</v>
      </c>
      <c r="E65" s="8">
        <f>SUMIFS(Dados!$I$1:$I$1993,Dados!$B$1:$B$1993,E$7,Dados!$A$1:$A$1993,$A65)</f>
        <v>0</v>
      </c>
      <c r="F65" s="8">
        <f>SUMIFS(Dados!$I$1:$I$1993,Dados!$B$1:$B$1993,F$7,Dados!$A$1:$A$1993,$A65)</f>
        <v>0</v>
      </c>
      <c r="G65" s="8">
        <f>SUMIFS(Dados!$I$1:$I$1993,Dados!$B$1:$B$1993,G$7,Dados!$A$1:$A$1993,$A65)</f>
        <v>0</v>
      </c>
      <c r="H65" s="8">
        <f>SUMIFS(Dados!$I$1:$I$1993,Dados!$B$1:$B$1993,H$7,Dados!$A$1:$A$1993,$A65)</f>
        <v>0</v>
      </c>
      <c r="I65" s="8">
        <f t="shared" si="12"/>
        <v>0</v>
      </c>
      <c r="J65" s="8">
        <f t="shared" si="7"/>
        <v>0</v>
      </c>
      <c r="K65" s="7">
        <f t="shared" si="13"/>
        <v>0</v>
      </c>
      <c r="L65" s="9">
        <f t="shared" si="11"/>
        <v>0</v>
      </c>
      <c r="N65" s="35"/>
    </row>
    <row r="66" spans="1:14" ht="24" customHeight="1" x14ac:dyDescent="0.25">
      <c r="A66" s="58">
        <f t="shared" si="9"/>
        <v>871</v>
      </c>
      <c r="B66" s="25">
        <f t="shared" si="10"/>
        <v>58</v>
      </c>
      <c r="C66" s="8">
        <f>SUMIFS(Dados!$I$1:$I$1993,Dados!$B$1:$B$1993,C$7,Dados!$A$1:$A$1993,$A66)</f>
        <v>0</v>
      </c>
      <c r="D66" s="8">
        <f>SUMIFS(Dados!$I$1:$I$1993,Dados!$B$1:$B$1993,D$7,Dados!$A$1:$A$1993,$A66)</f>
        <v>0</v>
      </c>
      <c r="E66" s="8">
        <f>SUMIFS(Dados!$I$1:$I$1993,Dados!$B$1:$B$1993,E$7,Dados!$A$1:$A$1993,$A66)</f>
        <v>0</v>
      </c>
      <c r="F66" s="8">
        <f>SUMIFS(Dados!$I$1:$I$1993,Dados!$B$1:$B$1993,F$7,Dados!$A$1:$A$1993,$A66)</f>
        <v>0</v>
      </c>
      <c r="G66" s="8">
        <f>SUMIFS(Dados!$I$1:$I$1993,Dados!$B$1:$B$1993,G$7,Dados!$A$1:$A$1993,$A66)</f>
        <v>0</v>
      </c>
      <c r="H66" s="8">
        <f>SUMIFS(Dados!$I$1:$I$1993,Dados!$B$1:$B$1993,H$7,Dados!$A$1:$A$1993,$A66)</f>
        <v>0</v>
      </c>
      <c r="I66" s="8">
        <f t="shared" si="12"/>
        <v>0</v>
      </c>
      <c r="J66" s="8">
        <f t="shared" si="7"/>
        <v>0</v>
      </c>
      <c r="K66" s="7">
        <f t="shared" si="13"/>
        <v>0</v>
      </c>
      <c r="L66" s="9">
        <f t="shared" si="11"/>
        <v>0</v>
      </c>
      <c r="N66" s="35"/>
    </row>
    <row r="67" spans="1:14" ht="24" customHeight="1" x14ac:dyDescent="0.25">
      <c r="A67" s="58">
        <f t="shared" si="9"/>
        <v>887</v>
      </c>
      <c r="B67" s="25">
        <f t="shared" si="10"/>
        <v>59</v>
      </c>
      <c r="C67" s="8">
        <f>SUMIFS(Dados!$I$1:$I$1993,Dados!$B$1:$B$1993,C$7,Dados!$A$1:$A$1993,$A67)</f>
        <v>0</v>
      </c>
      <c r="D67" s="8">
        <f>SUMIFS(Dados!$I$1:$I$1993,Dados!$B$1:$B$1993,D$7,Dados!$A$1:$A$1993,$A67)</f>
        <v>0</v>
      </c>
      <c r="E67" s="8">
        <f>SUMIFS(Dados!$I$1:$I$1993,Dados!$B$1:$B$1993,E$7,Dados!$A$1:$A$1993,$A67)</f>
        <v>0</v>
      </c>
      <c r="F67" s="8">
        <f>SUMIFS(Dados!$I$1:$I$1993,Dados!$B$1:$B$1993,F$7,Dados!$A$1:$A$1993,$A67)</f>
        <v>0</v>
      </c>
      <c r="G67" s="8">
        <f>SUMIFS(Dados!$I$1:$I$1993,Dados!$B$1:$B$1993,G$7,Dados!$A$1:$A$1993,$A67)</f>
        <v>0</v>
      </c>
      <c r="H67" s="8">
        <f>SUMIFS(Dados!$I$1:$I$1993,Dados!$B$1:$B$1993,H$7,Dados!$A$1:$A$1993,$A67)</f>
        <v>0</v>
      </c>
      <c r="I67" s="8">
        <f t="shared" si="12"/>
        <v>0</v>
      </c>
      <c r="J67" s="8">
        <f t="shared" si="7"/>
        <v>0</v>
      </c>
      <c r="K67" s="7">
        <f t="shared" si="13"/>
        <v>0</v>
      </c>
      <c r="L67" s="9">
        <f t="shared" si="11"/>
        <v>0</v>
      </c>
      <c r="N67" s="35"/>
    </row>
    <row r="68" spans="1:14" ht="24" customHeight="1" x14ac:dyDescent="0.25">
      <c r="A68" s="58">
        <f t="shared" si="9"/>
        <v>902</v>
      </c>
      <c r="B68" s="25">
        <f t="shared" si="10"/>
        <v>60</v>
      </c>
      <c r="C68" s="8">
        <f>SUMIFS(Dados!$I$1:$I$1993,Dados!$B$1:$B$1993,C$7,Dados!$A$1:$A$1993,$A68)</f>
        <v>0</v>
      </c>
      <c r="D68" s="8">
        <f>SUMIFS(Dados!$I$1:$I$1993,Dados!$B$1:$B$1993,D$7,Dados!$A$1:$A$1993,$A68)</f>
        <v>0</v>
      </c>
      <c r="E68" s="8">
        <f>SUMIFS(Dados!$I$1:$I$1993,Dados!$B$1:$B$1993,E$7,Dados!$A$1:$A$1993,$A68)</f>
        <v>0</v>
      </c>
      <c r="F68" s="8">
        <f>SUMIFS(Dados!$I$1:$I$1993,Dados!$B$1:$B$1993,F$7,Dados!$A$1:$A$1993,$A68)</f>
        <v>0</v>
      </c>
      <c r="G68" s="8">
        <f>SUMIFS(Dados!$I$1:$I$1993,Dados!$B$1:$B$1993,G$7,Dados!$A$1:$A$1993,$A68)</f>
        <v>0</v>
      </c>
      <c r="H68" s="8">
        <f>SUMIFS(Dados!$I$1:$I$1993,Dados!$B$1:$B$1993,H$7,Dados!$A$1:$A$1993,$A68)</f>
        <v>0</v>
      </c>
      <c r="I68" s="8">
        <f t="shared" si="12"/>
        <v>0</v>
      </c>
      <c r="J68" s="8">
        <f t="shared" si="7"/>
        <v>0</v>
      </c>
      <c r="K68" s="7">
        <f t="shared" si="13"/>
        <v>0</v>
      </c>
      <c r="L68" s="9">
        <f t="shared" si="11"/>
        <v>0</v>
      </c>
      <c r="N68" s="35"/>
    </row>
    <row r="69" spans="1:14" ht="24" customHeight="1" x14ac:dyDescent="0.25">
      <c r="A69" s="58">
        <f t="shared" si="9"/>
        <v>917</v>
      </c>
      <c r="B69" s="25">
        <f t="shared" si="10"/>
        <v>61</v>
      </c>
      <c r="C69" s="8">
        <f>SUMIFS(Dados!$I$1:$I$1993,Dados!$B$1:$B$1993,C$7,Dados!$A$1:$A$1993,$A69)</f>
        <v>0</v>
      </c>
      <c r="D69" s="8">
        <f>SUMIFS(Dados!$I$1:$I$1993,Dados!$B$1:$B$1993,D$7,Dados!$A$1:$A$1993,$A69)</f>
        <v>0</v>
      </c>
      <c r="E69" s="8">
        <f>SUMIFS(Dados!$I$1:$I$1993,Dados!$B$1:$B$1993,E$7,Dados!$A$1:$A$1993,$A69)</f>
        <v>0</v>
      </c>
      <c r="F69" s="8">
        <f>SUMIFS(Dados!$I$1:$I$1993,Dados!$B$1:$B$1993,F$7,Dados!$A$1:$A$1993,$A69)</f>
        <v>0</v>
      </c>
      <c r="G69" s="8">
        <f>SUMIFS(Dados!$I$1:$I$1993,Dados!$B$1:$B$1993,G$7,Dados!$A$1:$A$1993,$A69)</f>
        <v>0</v>
      </c>
      <c r="H69" s="8">
        <f>SUMIFS(Dados!$I$1:$I$1993,Dados!$B$1:$B$1993,H$7,Dados!$A$1:$A$1993,$A69)</f>
        <v>0</v>
      </c>
      <c r="I69" s="8">
        <f t="shared" si="12"/>
        <v>0</v>
      </c>
      <c r="J69" s="8">
        <f t="shared" si="7"/>
        <v>0</v>
      </c>
      <c r="K69" s="7">
        <f t="shared" si="13"/>
        <v>0</v>
      </c>
      <c r="L69" s="9">
        <f t="shared" si="11"/>
        <v>0</v>
      </c>
      <c r="N69" s="35"/>
    </row>
    <row r="70" spans="1:14" ht="24" customHeight="1" x14ac:dyDescent="0.25">
      <c r="A70" s="58">
        <f t="shared" si="9"/>
        <v>932</v>
      </c>
      <c r="B70" s="25">
        <f t="shared" si="10"/>
        <v>62</v>
      </c>
      <c r="C70" s="8">
        <f>SUMIFS(Dados!$I$1:$I$1993,Dados!$B$1:$B$1993,C$7,Dados!$A$1:$A$1993,$A70)</f>
        <v>0</v>
      </c>
      <c r="D70" s="8">
        <f>SUMIFS(Dados!$I$1:$I$1993,Dados!$B$1:$B$1993,D$7,Dados!$A$1:$A$1993,$A70)</f>
        <v>0</v>
      </c>
      <c r="E70" s="8">
        <f>SUMIFS(Dados!$I$1:$I$1993,Dados!$B$1:$B$1993,E$7,Dados!$A$1:$A$1993,$A70)</f>
        <v>0</v>
      </c>
      <c r="F70" s="8">
        <f>SUMIFS(Dados!$I$1:$I$1993,Dados!$B$1:$B$1993,F$7,Dados!$A$1:$A$1993,$A70)</f>
        <v>0</v>
      </c>
      <c r="G70" s="8">
        <f>SUMIFS(Dados!$I$1:$I$1993,Dados!$B$1:$B$1993,G$7,Dados!$A$1:$A$1993,$A70)</f>
        <v>0</v>
      </c>
      <c r="H70" s="8">
        <f>SUMIFS(Dados!$I$1:$I$1993,Dados!$B$1:$B$1993,H$7,Dados!$A$1:$A$1993,$A70)</f>
        <v>0</v>
      </c>
      <c r="I70" s="8">
        <f t="shared" si="12"/>
        <v>0</v>
      </c>
      <c r="J70" s="8">
        <f t="shared" si="7"/>
        <v>0</v>
      </c>
      <c r="K70" s="7">
        <f t="shared" si="13"/>
        <v>0</v>
      </c>
      <c r="L70" s="9">
        <f t="shared" si="11"/>
        <v>0</v>
      </c>
      <c r="N70" s="35"/>
    </row>
    <row r="71" spans="1:14" ht="24" customHeight="1" x14ac:dyDescent="0.25">
      <c r="A71" s="58">
        <f t="shared" si="9"/>
        <v>948</v>
      </c>
      <c r="B71" s="25">
        <f t="shared" si="10"/>
        <v>63</v>
      </c>
      <c r="C71" s="8">
        <f>SUMIFS(Dados!$I$1:$I$1993,Dados!$B$1:$B$1993,C$7,Dados!$A$1:$A$1993,$A71)</f>
        <v>0</v>
      </c>
      <c r="D71" s="8">
        <f>SUMIFS(Dados!$I$1:$I$1993,Dados!$B$1:$B$1993,D$7,Dados!$A$1:$A$1993,$A71)</f>
        <v>0</v>
      </c>
      <c r="E71" s="8">
        <f>SUMIFS(Dados!$I$1:$I$1993,Dados!$B$1:$B$1993,E$7,Dados!$A$1:$A$1993,$A71)</f>
        <v>0</v>
      </c>
      <c r="F71" s="8">
        <f>SUMIFS(Dados!$I$1:$I$1993,Dados!$B$1:$B$1993,F$7,Dados!$A$1:$A$1993,$A71)</f>
        <v>0</v>
      </c>
      <c r="G71" s="8">
        <f>SUMIFS(Dados!$I$1:$I$1993,Dados!$B$1:$B$1993,G$7,Dados!$A$1:$A$1993,$A71)</f>
        <v>0</v>
      </c>
      <c r="H71" s="8">
        <f>SUMIFS(Dados!$I$1:$I$1993,Dados!$B$1:$B$1993,H$7,Dados!$A$1:$A$1993,$A71)</f>
        <v>0</v>
      </c>
      <c r="I71" s="8">
        <f t="shared" si="12"/>
        <v>0</v>
      </c>
      <c r="J71" s="8">
        <f t="shared" si="7"/>
        <v>0</v>
      </c>
      <c r="K71" s="7">
        <f t="shared" si="13"/>
        <v>0</v>
      </c>
      <c r="L71" s="9">
        <f t="shared" si="11"/>
        <v>0</v>
      </c>
      <c r="N71" s="35"/>
    </row>
    <row r="72" spans="1:14" ht="24" customHeight="1" x14ac:dyDescent="0.25">
      <c r="A72" s="58">
        <f t="shared" si="9"/>
        <v>963</v>
      </c>
      <c r="B72" s="25">
        <f t="shared" si="10"/>
        <v>64</v>
      </c>
      <c r="C72" s="8">
        <f>SUMIFS(Dados!$I$1:$I$1993,Dados!$B$1:$B$1993,C$7,Dados!$A$1:$A$1993,$A72)</f>
        <v>0</v>
      </c>
      <c r="D72" s="8">
        <f>SUMIFS(Dados!$I$1:$I$1993,Dados!$B$1:$B$1993,D$7,Dados!$A$1:$A$1993,$A72)</f>
        <v>0</v>
      </c>
      <c r="E72" s="8">
        <f>SUMIFS(Dados!$I$1:$I$1993,Dados!$B$1:$B$1993,E$7,Dados!$A$1:$A$1993,$A72)</f>
        <v>0</v>
      </c>
      <c r="F72" s="8">
        <f>SUMIFS(Dados!$I$1:$I$1993,Dados!$B$1:$B$1993,F$7,Dados!$A$1:$A$1993,$A72)</f>
        <v>0</v>
      </c>
      <c r="G72" s="8">
        <f>SUMIFS(Dados!$I$1:$I$1993,Dados!$B$1:$B$1993,G$7,Dados!$A$1:$A$1993,$A72)</f>
        <v>0</v>
      </c>
      <c r="H72" s="8">
        <f>SUMIFS(Dados!$I$1:$I$1993,Dados!$B$1:$B$1993,H$7,Dados!$A$1:$A$1993,$A72)</f>
        <v>0</v>
      </c>
      <c r="I72" s="8">
        <f t="shared" si="12"/>
        <v>0</v>
      </c>
      <c r="J72" s="8">
        <f t="shared" si="7"/>
        <v>0</v>
      </c>
      <c r="K72" s="7">
        <f t="shared" si="13"/>
        <v>0</v>
      </c>
      <c r="L72" s="9">
        <f t="shared" si="11"/>
        <v>0</v>
      </c>
      <c r="N72" s="35"/>
    </row>
    <row r="73" spans="1:14" ht="24" customHeight="1" x14ac:dyDescent="0.25">
      <c r="A73" s="58">
        <f t="shared" si="9"/>
        <v>979</v>
      </c>
      <c r="B73" s="25">
        <f t="shared" si="10"/>
        <v>65</v>
      </c>
      <c r="C73" s="8">
        <f>SUMIFS(Dados!$I$1:$I$1993,Dados!$B$1:$B$1993,C$7,Dados!$A$1:$A$1993,$A73)</f>
        <v>0</v>
      </c>
      <c r="D73" s="8">
        <f>SUMIFS(Dados!$I$1:$I$1993,Dados!$B$1:$B$1993,D$7,Dados!$A$1:$A$1993,$A73)</f>
        <v>0</v>
      </c>
      <c r="E73" s="8">
        <f>SUMIFS(Dados!$I$1:$I$1993,Dados!$B$1:$B$1993,E$7,Dados!$A$1:$A$1993,$A73)</f>
        <v>0</v>
      </c>
      <c r="F73" s="8">
        <f>SUMIFS(Dados!$I$1:$I$1993,Dados!$B$1:$B$1993,F$7,Dados!$A$1:$A$1993,$A73)</f>
        <v>0</v>
      </c>
      <c r="G73" s="8">
        <f>SUMIFS(Dados!$I$1:$I$1993,Dados!$B$1:$B$1993,G$7,Dados!$A$1:$A$1993,$A73)</f>
        <v>0</v>
      </c>
      <c r="H73" s="8">
        <f>SUMIFS(Dados!$I$1:$I$1993,Dados!$B$1:$B$1993,H$7,Dados!$A$1:$A$1993,$A73)</f>
        <v>0</v>
      </c>
      <c r="I73" s="8">
        <f t="shared" si="12"/>
        <v>0</v>
      </c>
      <c r="J73" s="8">
        <f t="shared" ref="J73:J104" si="14">ROUND(I73*$L$4,2)</f>
        <v>0</v>
      </c>
      <c r="K73" s="7">
        <f t="shared" si="13"/>
        <v>0</v>
      </c>
      <c r="L73" s="9">
        <f t="shared" si="11"/>
        <v>0</v>
      </c>
      <c r="N73" s="35"/>
    </row>
    <row r="74" spans="1:14" ht="24" customHeight="1" x14ac:dyDescent="0.25">
      <c r="A74" s="58">
        <f t="shared" si="9"/>
        <v>994</v>
      </c>
      <c r="B74" s="25">
        <f t="shared" si="10"/>
        <v>66</v>
      </c>
      <c r="C74" s="8">
        <f>SUMIFS(Dados!$I$1:$I$1993,Dados!$B$1:$B$1993,C$7,Dados!$A$1:$A$1993,$A74)</f>
        <v>0</v>
      </c>
      <c r="D74" s="8">
        <f>SUMIFS(Dados!$I$1:$I$1993,Dados!$B$1:$B$1993,D$7,Dados!$A$1:$A$1993,$A74)</f>
        <v>0</v>
      </c>
      <c r="E74" s="8">
        <f>SUMIFS(Dados!$I$1:$I$1993,Dados!$B$1:$B$1993,E$7,Dados!$A$1:$A$1993,$A74)</f>
        <v>0</v>
      </c>
      <c r="F74" s="8">
        <f>SUMIFS(Dados!$I$1:$I$1993,Dados!$B$1:$B$1993,F$7,Dados!$A$1:$A$1993,$A74)</f>
        <v>0</v>
      </c>
      <c r="G74" s="8">
        <f>SUMIFS(Dados!$I$1:$I$1993,Dados!$B$1:$B$1993,G$7,Dados!$A$1:$A$1993,$A74)</f>
        <v>0</v>
      </c>
      <c r="H74" s="8">
        <f>SUMIFS(Dados!$I$1:$I$1993,Dados!$B$1:$B$1993,H$7,Dados!$A$1:$A$1993,$A74)</f>
        <v>0</v>
      </c>
      <c r="I74" s="8">
        <f t="shared" si="12"/>
        <v>0</v>
      </c>
      <c r="J74" s="8">
        <f t="shared" si="14"/>
        <v>0</v>
      </c>
      <c r="K74" s="7">
        <f t="shared" si="13"/>
        <v>0</v>
      </c>
      <c r="L74" s="9">
        <f t="shared" si="11"/>
        <v>0</v>
      </c>
      <c r="N74" s="35"/>
    </row>
    <row r="75" spans="1:14" ht="24" customHeight="1" x14ac:dyDescent="0.25">
      <c r="A75" s="58">
        <f t="shared" si="9"/>
        <v>1009</v>
      </c>
      <c r="B75" s="25">
        <f t="shared" si="10"/>
        <v>67</v>
      </c>
      <c r="C75" s="8">
        <f>SUMIFS(Dados!$I$1:$I$1993,Dados!$B$1:$B$1993,C$7,Dados!$A$1:$A$1993,$A75)</f>
        <v>0</v>
      </c>
      <c r="D75" s="8">
        <f>SUMIFS(Dados!$I$1:$I$1993,Dados!$B$1:$B$1993,D$7,Dados!$A$1:$A$1993,$A75)</f>
        <v>0</v>
      </c>
      <c r="E75" s="8">
        <f>SUMIFS(Dados!$I$1:$I$1993,Dados!$B$1:$B$1993,E$7,Dados!$A$1:$A$1993,$A75)</f>
        <v>0</v>
      </c>
      <c r="F75" s="8">
        <f>SUMIFS(Dados!$I$1:$I$1993,Dados!$B$1:$B$1993,F$7,Dados!$A$1:$A$1993,$A75)</f>
        <v>0</v>
      </c>
      <c r="G75" s="8">
        <f>SUMIFS(Dados!$I$1:$I$1993,Dados!$B$1:$B$1993,G$7,Dados!$A$1:$A$1993,$A75)</f>
        <v>0</v>
      </c>
      <c r="H75" s="8">
        <f>SUMIFS(Dados!$I$1:$I$1993,Dados!$B$1:$B$1993,H$7,Dados!$A$1:$A$1993,$A75)</f>
        <v>0</v>
      </c>
      <c r="I75" s="8">
        <f t="shared" si="12"/>
        <v>0</v>
      </c>
      <c r="J75" s="8">
        <f t="shared" si="14"/>
        <v>0</v>
      </c>
      <c r="K75" s="7">
        <f t="shared" si="13"/>
        <v>0</v>
      </c>
      <c r="L75" s="9">
        <f t="shared" si="11"/>
        <v>0</v>
      </c>
      <c r="N75" s="35"/>
    </row>
    <row r="76" spans="1:14" ht="24" customHeight="1" x14ac:dyDescent="0.25">
      <c r="A76" s="58">
        <f t="shared" si="9"/>
        <v>1024</v>
      </c>
      <c r="B76" s="25">
        <f t="shared" si="10"/>
        <v>68</v>
      </c>
      <c r="C76" s="8">
        <f>SUMIFS(Dados!$I$1:$I$1993,Dados!$B$1:$B$1993,C$7,Dados!$A$1:$A$1993,$A76)</f>
        <v>0</v>
      </c>
      <c r="D76" s="8">
        <f>SUMIFS(Dados!$I$1:$I$1993,Dados!$B$1:$B$1993,D$7,Dados!$A$1:$A$1993,$A76)</f>
        <v>0</v>
      </c>
      <c r="E76" s="8">
        <f>SUMIFS(Dados!$I$1:$I$1993,Dados!$B$1:$B$1993,E$7,Dados!$A$1:$A$1993,$A76)</f>
        <v>0</v>
      </c>
      <c r="F76" s="8">
        <f>SUMIFS(Dados!$I$1:$I$1993,Dados!$B$1:$B$1993,F$7,Dados!$A$1:$A$1993,$A76)</f>
        <v>0</v>
      </c>
      <c r="G76" s="8">
        <f>SUMIFS(Dados!$I$1:$I$1993,Dados!$B$1:$B$1993,G$7,Dados!$A$1:$A$1993,$A76)</f>
        <v>0</v>
      </c>
      <c r="H76" s="8">
        <f>SUMIFS(Dados!$I$1:$I$1993,Dados!$B$1:$B$1993,H$7,Dados!$A$1:$A$1993,$A76)</f>
        <v>0</v>
      </c>
      <c r="I76" s="8">
        <f t="shared" si="12"/>
        <v>0</v>
      </c>
      <c r="J76" s="8">
        <f t="shared" si="14"/>
        <v>0</v>
      </c>
      <c r="K76" s="7">
        <f t="shared" si="13"/>
        <v>0</v>
      </c>
      <c r="L76" s="9">
        <f t="shared" si="11"/>
        <v>0</v>
      </c>
      <c r="N76" s="35"/>
    </row>
    <row r="77" spans="1:14" ht="24" customHeight="1" x14ac:dyDescent="0.25">
      <c r="A77" s="58">
        <f t="shared" si="9"/>
        <v>1040</v>
      </c>
      <c r="B77" s="25">
        <f t="shared" si="10"/>
        <v>69</v>
      </c>
      <c r="C77" s="8">
        <f>SUMIFS(Dados!$I$1:$I$1993,Dados!$B$1:$B$1993,C$7,Dados!$A$1:$A$1993,$A77)</f>
        <v>0</v>
      </c>
      <c r="D77" s="8">
        <f>SUMIFS(Dados!$I$1:$I$1993,Dados!$B$1:$B$1993,D$7,Dados!$A$1:$A$1993,$A77)</f>
        <v>0</v>
      </c>
      <c r="E77" s="8">
        <f>SUMIFS(Dados!$I$1:$I$1993,Dados!$B$1:$B$1993,E$7,Dados!$A$1:$A$1993,$A77)</f>
        <v>0</v>
      </c>
      <c r="F77" s="8">
        <f>SUMIFS(Dados!$I$1:$I$1993,Dados!$B$1:$B$1993,F$7,Dados!$A$1:$A$1993,$A77)</f>
        <v>0</v>
      </c>
      <c r="G77" s="8">
        <f>SUMIFS(Dados!$I$1:$I$1993,Dados!$B$1:$B$1993,G$7,Dados!$A$1:$A$1993,$A77)</f>
        <v>0</v>
      </c>
      <c r="H77" s="8">
        <f>SUMIFS(Dados!$I$1:$I$1993,Dados!$B$1:$B$1993,H$7,Dados!$A$1:$A$1993,$A77)</f>
        <v>0</v>
      </c>
      <c r="I77" s="8">
        <f t="shared" si="12"/>
        <v>0</v>
      </c>
      <c r="J77" s="8">
        <f t="shared" si="14"/>
        <v>0</v>
      </c>
      <c r="K77" s="7">
        <f t="shared" si="13"/>
        <v>0</v>
      </c>
      <c r="L77" s="9">
        <f t="shared" si="11"/>
        <v>0</v>
      </c>
      <c r="N77" s="35"/>
    </row>
    <row r="78" spans="1:14" ht="24" customHeight="1" x14ac:dyDescent="0.25">
      <c r="A78" s="58">
        <f t="shared" si="9"/>
        <v>1055</v>
      </c>
      <c r="B78" s="25">
        <f t="shared" si="10"/>
        <v>70</v>
      </c>
      <c r="C78" s="8">
        <f>SUMIFS(Dados!$I$1:$I$1993,Dados!$B$1:$B$1993,C$7,Dados!$A$1:$A$1993,$A78)</f>
        <v>0</v>
      </c>
      <c r="D78" s="8">
        <f>SUMIFS(Dados!$I$1:$I$1993,Dados!$B$1:$B$1993,D$7,Dados!$A$1:$A$1993,$A78)</f>
        <v>0</v>
      </c>
      <c r="E78" s="8">
        <f>SUMIFS(Dados!$I$1:$I$1993,Dados!$B$1:$B$1993,E$7,Dados!$A$1:$A$1993,$A78)</f>
        <v>0</v>
      </c>
      <c r="F78" s="8">
        <f>SUMIFS(Dados!$I$1:$I$1993,Dados!$B$1:$B$1993,F$7,Dados!$A$1:$A$1993,$A78)</f>
        <v>0</v>
      </c>
      <c r="G78" s="8">
        <f>SUMIFS(Dados!$I$1:$I$1993,Dados!$B$1:$B$1993,G$7,Dados!$A$1:$A$1993,$A78)</f>
        <v>0</v>
      </c>
      <c r="H78" s="8">
        <f>SUMIFS(Dados!$I$1:$I$1993,Dados!$B$1:$B$1993,H$7,Dados!$A$1:$A$1993,$A78)</f>
        <v>0</v>
      </c>
      <c r="I78" s="8">
        <f t="shared" si="12"/>
        <v>0</v>
      </c>
      <c r="J78" s="8">
        <f t="shared" si="14"/>
        <v>0</v>
      </c>
      <c r="K78" s="7">
        <f t="shared" si="13"/>
        <v>0</v>
      </c>
      <c r="L78" s="9">
        <f t="shared" si="11"/>
        <v>0</v>
      </c>
      <c r="N78" s="35"/>
    </row>
    <row r="79" spans="1:14" ht="24" customHeight="1" x14ac:dyDescent="0.25">
      <c r="A79" s="58">
        <f t="shared" si="9"/>
        <v>1070</v>
      </c>
      <c r="B79" s="25">
        <f t="shared" si="10"/>
        <v>71</v>
      </c>
      <c r="C79" s="8">
        <f>SUMIFS(Dados!$I$1:$I$1993,Dados!$B$1:$B$1993,C$7,Dados!$A$1:$A$1993,$A79)</f>
        <v>0</v>
      </c>
      <c r="D79" s="8">
        <f>SUMIFS(Dados!$I$1:$I$1993,Dados!$B$1:$B$1993,D$7,Dados!$A$1:$A$1993,$A79)</f>
        <v>0</v>
      </c>
      <c r="E79" s="8">
        <f>SUMIFS(Dados!$I$1:$I$1993,Dados!$B$1:$B$1993,E$7,Dados!$A$1:$A$1993,$A79)</f>
        <v>0</v>
      </c>
      <c r="F79" s="8">
        <f>SUMIFS(Dados!$I$1:$I$1993,Dados!$B$1:$B$1993,F$7,Dados!$A$1:$A$1993,$A79)</f>
        <v>0</v>
      </c>
      <c r="G79" s="8">
        <f>SUMIFS(Dados!$I$1:$I$1993,Dados!$B$1:$B$1993,G$7,Dados!$A$1:$A$1993,$A79)</f>
        <v>0</v>
      </c>
      <c r="H79" s="8">
        <f>SUMIFS(Dados!$I$1:$I$1993,Dados!$B$1:$B$1993,H$7,Dados!$A$1:$A$1993,$A79)</f>
        <v>0</v>
      </c>
      <c r="I79" s="8">
        <f t="shared" si="12"/>
        <v>0</v>
      </c>
      <c r="J79" s="8">
        <f t="shared" si="14"/>
        <v>0</v>
      </c>
      <c r="K79" s="7">
        <f t="shared" si="13"/>
        <v>0</v>
      </c>
      <c r="L79" s="9">
        <f t="shared" si="11"/>
        <v>0</v>
      </c>
      <c r="N79" s="35"/>
    </row>
    <row r="80" spans="1:14" ht="24" customHeight="1" x14ac:dyDescent="0.25">
      <c r="A80" s="58">
        <f t="shared" si="9"/>
        <v>1085</v>
      </c>
      <c r="B80" s="25">
        <f t="shared" si="10"/>
        <v>72</v>
      </c>
      <c r="C80" s="8">
        <f>SUMIFS(Dados!$I$1:$I$1993,Dados!$B$1:$B$1993,C$7,Dados!$A$1:$A$1993,$A80)</f>
        <v>0</v>
      </c>
      <c r="D80" s="8">
        <f>SUMIFS(Dados!$I$1:$I$1993,Dados!$B$1:$B$1993,D$7,Dados!$A$1:$A$1993,$A80)</f>
        <v>0</v>
      </c>
      <c r="E80" s="8">
        <f>SUMIFS(Dados!$I$1:$I$1993,Dados!$B$1:$B$1993,E$7,Dados!$A$1:$A$1993,$A80)</f>
        <v>0</v>
      </c>
      <c r="F80" s="8">
        <f>SUMIFS(Dados!$I$1:$I$1993,Dados!$B$1:$B$1993,F$7,Dados!$A$1:$A$1993,$A80)</f>
        <v>0</v>
      </c>
      <c r="G80" s="8">
        <f>SUMIFS(Dados!$I$1:$I$1993,Dados!$B$1:$B$1993,G$7,Dados!$A$1:$A$1993,$A80)</f>
        <v>0</v>
      </c>
      <c r="H80" s="8">
        <f>SUMIFS(Dados!$I$1:$I$1993,Dados!$B$1:$B$1993,H$7,Dados!$A$1:$A$1993,$A80)</f>
        <v>0</v>
      </c>
      <c r="I80" s="8">
        <f t="shared" si="12"/>
        <v>0</v>
      </c>
      <c r="J80" s="8">
        <f t="shared" si="14"/>
        <v>0</v>
      </c>
      <c r="K80" s="7">
        <f t="shared" si="13"/>
        <v>0</v>
      </c>
      <c r="L80" s="9">
        <f t="shared" si="11"/>
        <v>0</v>
      </c>
      <c r="N80" s="35"/>
    </row>
    <row r="81" spans="1:14" ht="24" customHeight="1" x14ac:dyDescent="0.25">
      <c r="A81" s="58">
        <f t="shared" si="9"/>
        <v>1101</v>
      </c>
      <c r="B81" s="25">
        <f t="shared" si="10"/>
        <v>73</v>
      </c>
      <c r="C81" s="8">
        <f>SUMIFS(Dados!$I$1:$I$1993,Dados!$B$1:$B$1993,C$7,Dados!$A$1:$A$1993,$A81)</f>
        <v>0</v>
      </c>
      <c r="D81" s="8">
        <f>SUMIFS(Dados!$I$1:$I$1993,Dados!$B$1:$B$1993,D$7,Dados!$A$1:$A$1993,$A81)</f>
        <v>0</v>
      </c>
      <c r="E81" s="8">
        <f>SUMIFS(Dados!$I$1:$I$1993,Dados!$B$1:$B$1993,E$7,Dados!$A$1:$A$1993,$A81)</f>
        <v>0</v>
      </c>
      <c r="F81" s="8">
        <f>SUMIFS(Dados!$I$1:$I$1993,Dados!$B$1:$B$1993,F$7,Dados!$A$1:$A$1993,$A81)</f>
        <v>0</v>
      </c>
      <c r="G81" s="8">
        <f>SUMIFS(Dados!$I$1:$I$1993,Dados!$B$1:$B$1993,G$7,Dados!$A$1:$A$1993,$A81)</f>
        <v>0</v>
      </c>
      <c r="H81" s="8">
        <f>SUMIFS(Dados!$I$1:$I$1993,Dados!$B$1:$B$1993,H$7,Dados!$A$1:$A$1993,$A81)</f>
        <v>0</v>
      </c>
      <c r="I81" s="8">
        <f t="shared" si="6"/>
        <v>0</v>
      </c>
      <c r="J81" s="8">
        <f t="shared" si="14"/>
        <v>0</v>
      </c>
      <c r="K81" s="7">
        <f t="shared" si="8"/>
        <v>0</v>
      </c>
      <c r="L81" s="9">
        <f t="shared" si="11"/>
        <v>0</v>
      </c>
      <c r="N81" s="35"/>
    </row>
    <row r="82" spans="1:14" ht="24" customHeight="1" x14ac:dyDescent="0.25">
      <c r="A82" s="58">
        <f t="shared" si="9"/>
        <v>1116</v>
      </c>
      <c r="B82" s="25">
        <f t="shared" si="10"/>
        <v>74</v>
      </c>
      <c r="C82" s="8">
        <f>SUMIFS(Dados!$I$1:$I$1993,Dados!$B$1:$B$1993,C$7,Dados!$A$1:$A$1993,$A82)</f>
        <v>0</v>
      </c>
      <c r="D82" s="8">
        <f>SUMIFS(Dados!$I$1:$I$1993,Dados!$B$1:$B$1993,D$7,Dados!$A$1:$A$1993,$A82)</f>
        <v>0</v>
      </c>
      <c r="E82" s="8">
        <f>SUMIFS(Dados!$I$1:$I$1993,Dados!$B$1:$B$1993,E$7,Dados!$A$1:$A$1993,$A82)</f>
        <v>0</v>
      </c>
      <c r="F82" s="8">
        <f>SUMIFS(Dados!$I$1:$I$1993,Dados!$B$1:$B$1993,F$7,Dados!$A$1:$A$1993,$A82)</f>
        <v>0</v>
      </c>
      <c r="G82" s="8">
        <f>SUMIFS(Dados!$I$1:$I$1993,Dados!$B$1:$B$1993,G$7,Dados!$A$1:$A$1993,$A82)</f>
        <v>0</v>
      </c>
      <c r="H82" s="8">
        <f>SUMIFS(Dados!$I$1:$I$1993,Dados!$B$1:$B$1993,H$7,Dados!$A$1:$A$1993,$A82)</f>
        <v>0</v>
      </c>
      <c r="I82" s="8">
        <f t="shared" si="6"/>
        <v>0</v>
      </c>
      <c r="J82" s="8">
        <f t="shared" si="14"/>
        <v>0</v>
      </c>
      <c r="K82" s="7">
        <f t="shared" si="8"/>
        <v>0</v>
      </c>
      <c r="L82" s="9">
        <f t="shared" si="11"/>
        <v>0</v>
      </c>
      <c r="N82" s="35"/>
    </row>
    <row r="83" spans="1:14" ht="24" customHeight="1" x14ac:dyDescent="0.25">
      <c r="A83" s="58">
        <f t="shared" si="9"/>
        <v>1132</v>
      </c>
      <c r="B83" s="25">
        <f t="shared" si="10"/>
        <v>75</v>
      </c>
      <c r="C83" s="8">
        <f>SUMIFS(Dados!$I$1:$I$1993,Dados!$B$1:$B$1993,C$7,Dados!$A$1:$A$1993,$A83)</f>
        <v>0</v>
      </c>
      <c r="D83" s="8">
        <f>SUMIFS(Dados!$I$1:$I$1993,Dados!$B$1:$B$1993,D$7,Dados!$A$1:$A$1993,$A83)</f>
        <v>0</v>
      </c>
      <c r="E83" s="8">
        <f>SUMIFS(Dados!$I$1:$I$1993,Dados!$B$1:$B$1993,E$7,Dados!$A$1:$A$1993,$A83)</f>
        <v>0</v>
      </c>
      <c r="F83" s="8">
        <f>SUMIFS(Dados!$I$1:$I$1993,Dados!$B$1:$B$1993,F$7,Dados!$A$1:$A$1993,$A83)</f>
        <v>0</v>
      </c>
      <c r="G83" s="8">
        <f>SUMIFS(Dados!$I$1:$I$1993,Dados!$B$1:$B$1993,G$7,Dados!$A$1:$A$1993,$A83)</f>
        <v>0</v>
      </c>
      <c r="H83" s="8">
        <f>SUMIFS(Dados!$I$1:$I$1993,Dados!$B$1:$B$1993,H$7,Dados!$A$1:$A$1993,$A83)</f>
        <v>0</v>
      </c>
      <c r="I83" s="8">
        <f t="shared" si="6"/>
        <v>0</v>
      </c>
      <c r="J83" s="8">
        <f t="shared" si="14"/>
        <v>0</v>
      </c>
      <c r="K83" s="7">
        <f t="shared" si="8"/>
        <v>0</v>
      </c>
      <c r="L83" s="9">
        <f t="shared" si="11"/>
        <v>0</v>
      </c>
      <c r="N83" s="35"/>
    </row>
    <row r="84" spans="1:14" ht="24" customHeight="1" x14ac:dyDescent="0.25">
      <c r="A84" s="58">
        <f t="shared" si="9"/>
        <v>1147</v>
      </c>
      <c r="B84" s="25">
        <f t="shared" si="10"/>
        <v>76</v>
      </c>
      <c r="C84" s="8">
        <f>SUMIFS(Dados!$I$1:$I$1993,Dados!$B$1:$B$1993,C$7,Dados!$A$1:$A$1993,$A84)</f>
        <v>0</v>
      </c>
      <c r="D84" s="8">
        <f>SUMIFS(Dados!$I$1:$I$1993,Dados!$B$1:$B$1993,D$7,Dados!$A$1:$A$1993,$A84)</f>
        <v>0</v>
      </c>
      <c r="E84" s="8">
        <f>SUMIFS(Dados!$I$1:$I$1993,Dados!$B$1:$B$1993,E$7,Dados!$A$1:$A$1993,$A84)</f>
        <v>0</v>
      </c>
      <c r="F84" s="8">
        <f>SUMIFS(Dados!$I$1:$I$1993,Dados!$B$1:$B$1993,F$7,Dados!$A$1:$A$1993,$A84)</f>
        <v>0</v>
      </c>
      <c r="G84" s="8">
        <f>SUMIFS(Dados!$I$1:$I$1993,Dados!$B$1:$B$1993,G$7,Dados!$A$1:$A$1993,$A84)</f>
        <v>0</v>
      </c>
      <c r="H84" s="8">
        <f>SUMIFS(Dados!$I$1:$I$1993,Dados!$B$1:$B$1993,H$7,Dados!$A$1:$A$1993,$A84)</f>
        <v>0</v>
      </c>
      <c r="I84" s="8">
        <f t="shared" si="6"/>
        <v>0</v>
      </c>
      <c r="J84" s="8">
        <f t="shared" si="14"/>
        <v>0</v>
      </c>
      <c r="K84" s="7">
        <f t="shared" si="8"/>
        <v>0</v>
      </c>
      <c r="L84" s="9">
        <f t="shared" si="11"/>
        <v>0</v>
      </c>
      <c r="N84" s="35"/>
    </row>
    <row r="85" spans="1:14" ht="24" customHeight="1" x14ac:dyDescent="0.25">
      <c r="A85" s="58">
        <f t="shared" si="9"/>
        <v>1160</v>
      </c>
      <c r="B85" s="25">
        <f t="shared" si="10"/>
        <v>77</v>
      </c>
      <c r="C85" s="8">
        <f>SUMIFS(Dados!$I$1:$I$1993,Dados!$B$1:$B$1993,C$7,Dados!$A$1:$A$1993,$A85)</f>
        <v>0</v>
      </c>
      <c r="D85" s="8">
        <f>SUMIFS(Dados!$I$1:$I$1993,Dados!$B$1:$B$1993,D$7,Dados!$A$1:$A$1993,$A85)</f>
        <v>0</v>
      </c>
      <c r="E85" s="8">
        <f>SUMIFS(Dados!$I$1:$I$1993,Dados!$B$1:$B$1993,E$7,Dados!$A$1:$A$1993,$A85)</f>
        <v>0</v>
      </c>
      <c r="F85" s="8">
        <f>SUMIFS(Dados!$I$1:$I$1993,Dados!$B$1:$B$1993,F$7,Dados!$A$1:$A$1993,$A85)</f>
        <v>0</v>
      </c>
      <c r="G85" s="8">
        <f>SUMIFS(Dados!$I$1:$I$1993,Dados!$B$1:$B$1993,G$7,Dados!$A$1:$A$1993,$A85)</f>
        <v>0</v>
      </c>
      <c r="H85" s="8">
        <f>SUMIFS(Dados!$I$1:$I$1993,Dados!$B$1:$B$1993,H$7,Dados!$A$1:$A$1993,$A85)</f>
        <v>0</v>
      </c>
      <c r="I85" s="8">
        <f t="shared" si="6"/>
        <v>0</v>
      </c>
      <c r="J85" s="8">
        <f t="shared" si="14"/>
        <v>0</v>
      </c>
      <c r="K85" s="7">
        <f t="shared" si="8"/>
        <v>0</v>
      </c>
      <c r="L85" s="9">
        <f t="shared" si="11"/>
        <v>0</v>
      </c>
      <c r="N85" s="35"/>
    </row>
    <row r="86" spans="1:14" ht="24" customHeight="1" x14ac:dyDescent="0.25">
      <c r="A86" s="58">
        <f t="shared" si="9"/>
        <v>1175</v>
      </c>
      <c r="B86" s="25">
        <f t="shared" si="10"/>
        <v>78</v>
      </c>
      <c r="C86" s="8">
        <f>SUMIFS(Dados!$I$1:$I$1993,Dados!$B$1:$B$1993,C$7,Dados!$A$1:$A$1993,$A86)</f>
        <v>0</v>
      </c>
      <c r="D86" s="8">
        <f>SUMIFS(Dados!$I$1:$I$1993,Dados!$B$1:$B$1993,D$7,Dados!$A$1:$A$1993,$A86)</f>
        <v>0</v>
      </c>
      <c r="E86" s="8">
        <f>SUMIFS(Dados!$I$1:$I$1993,Dados!$B$1:$B$1993,E$7,Dados!$A$1:$A$1993,$A86)</f>
        <v>0</v>
      </c>
      <c r="F86" s="8">
        <f>SUMIFS(Dados!$I$1:$I$1993,Dados!$B$1:$B$1993,F$7,Dados!$A$1:$A$1993,$A86)</f>
        <v>0</v>
      </c>
      <c r="G86" s="8">
        <f>SUMIFS(Dados!$I$1:$I$1993,Dados!$B$1:$B$1993,G$7,Dados!$A$1:$A$1993,$A86)</f>
        <v>0</v>
      </c>
      <c r="H86" s="8">
        <f>SUMIFS(Dados!$I$1:$I$1993,Dados!$B$1:$B$1993,H$7,Dados!$A$1:$A$1993,$A86)</f>
        <v>0</v>
      </c>
      <c r="I86" s="8">
        <f t="shared" si="6"/>
        <v>0</v>
      </c>
      <c r="J86" s="8">
        <f t="shared" si="14"/>
        <v>0</v>
      </c>
      <c r="K86" s="7">
        <f t="shared" si="8"/>
        <v>0</v>
      </c>
      <c r="L86" s="9">
        <f t="shared" si="11"/>
        <v>0</v>
      </c>
      <c r="N86" s="35"/>
    </row>
    <row r="87" spans="1:14" ht="24" customHeight="1" x14ac:dyDescent="0.25">
      <c r="A87" s="58">
        <f t="shared" si="9"/>
        <v>1191</v>
      </c>
      <c r="B87" s="25">
        <f t="shared" si="10"/>
        <v>79</v>
      </c>
      <c r="C87" s="8">
        <f>SUMIFS(Dados!$I$1:$I$1993,Dados!$B$1:$B$1993,C$7,Dados!$A$1:$A$1993,$A87)</f>
        <v>0</v>
      </c>
      <c r="D87" s="8">
        <f>SUMIFS(Dados!$I$1:$I$1993,Dados!$B$1:$B$1993,D$7,Dados!$A$1:$A$1993,$A87)</f>
        <v>0</v>
      </c>
      <c r="E87" s="8">
        <f>SUMIFS(Dados!$I$1:$I$1993,Dados!$B$1:$B$1993,E$7,Dados!$A$1:$A$1993,$A87)</f>
        <v>0</v>
      </c>
      <c r="F87" s="8">
        <f>SUMIFS(Dados!$I$1:$I$1993,Dados!$B$1:$B$1993,F$7,Dados!$A$1:$A$1993,$A87)</f>
        <v>0</v>
      </c>
      <c r="G87" s="8">
        <f>SUMIFS(Dados!$I$1:$I$1993,Dados!$B$1:$B$1993,G$7,Dados!$A$1:$A$1993,$A87)</f>
        <v>0</v>
      </c>
      <c r="H87" s="8">
        <f>SUMIFS(Dados!$I$1:$I$1993,Dados!$B$1:$B$1993,H$7,Dados!$A$1:$A$1993,$A87)</f>
        <v>0</v>
      </c>
      <c r="I87" s="8">
        <f t="shared" si="6"/>
        <v>0</v>
      </c>
      <c r="J87" s="8">
        <f t="shared" si="14"/>
        <v>0</v>
      </c>
      <c r="K87" s="7">
        <f t="shared" si="8"/>
        <v>0</v>
      </c>
      <c r="L87" s="9">
        <f t="shared" si="11"/>
        <v>0</v>
      </c>
      <c r="N87" s="35"/>
    </row>
    <row r="88" spans="1:14" ht="24" customHeight="1" x14ac:dyDescent="0.25">
      <c r="A88" s="58">
        <f t="shared" si="9"/>
        <v>1206</v>
      </c>
      <c r="B88" s="25">
        <f t="shared" si="10"/>
        <v>80</v>
      </c>
      <c r="C88" s="8">
        <f>SUMIFS(Dados!$I$1:$I$1993,Dados!$B$1:$B$1993,C$7,Dados!$A$1:$A$1993,$A88)</f>
        <v>0</v>
      </c>
      <c r="D88" s="8">
        <f>SUMIFS(Dados!$I$1:$I$1993,Dados!$B$1:$B$1993,D$7,Dados!$A$1:$A$1993,$A88)</f>
        <v>0</v>
      </c>
      <c r="E88" s="8">
        <f>SUMIFS(Dados!$I$1:$I$1993,Dados!$B$1:$B$1993,E$7,Dados!$A$1:$A$1993,$A88)</f>
        <v>0</v>
      </c>
      <c r="F88" s="8">
        <f>SUMIFS(Dados!$I$1:$I$1993,Dados!$B$1:$B$1993,F$7,Dados!$A$1:$A$1993,$A88)</f>
        <v>0</v>
      </c>
      <c r="G88" s="8">
        <f>SUMIFS(Dados!$I$1:$I$1993,Dados!$B$1:$B$1993,G$7,Dados!$A$1:$A$1993,$A88)</f>
        <v>0</v>
      </c>
      <c r="H88" s="8">
        <f>SUMIFS(Dados!$I$1:$I$1993,Dados!$B$1:$B$1993,H$7,Dados!$A$1:$A$1993,$A88)</f>
        <v>0</v>
      </c>
      <c r="I88" s="8">
        <f t="shared" si="6"/>
        <v>0</v>
      </c>
      <c r="J88" s="8">
        <f t="shared" si="14"/>
        <v>0</v>
      </c>
      <c r="K88" s="7">
        <f t="shared" si="8"/>
        <v>0</v>
      </c>
      <c r="L88" s="9">
        <f t="shared" si="11"/>
        <v>0</v>
      </c>
      <c r="N88" s="35"/>
    </row>
    <row r="89" spans="1:14" ht="24" customHeight="1" x14ac:dyDescent="0.25">
      <c r="A89" s="58">
        <f t="shared" si="9"/>
        <v>1221</v>
      </c>
      <c r="B89" s="25">
        <f t="shared" si="10"/>
        <v>81</v>
      </c>
      <c r="C89" s="8">
        <f>SUMIFS(Dados!$I$1:$I$1993,Dados!$B$1:$B$1993,C$7,Dados!$A$1:$A$1993,$A89)</f>
        <v>0</v>
      </c>
      <c r="D89" s="8">
        <f>SUMIFS(Dados!$I$1:$I$1993,Dados!$B$1:$B$1993,D$7,Dados!$A$1:$A$1993,$A89)</f>
        <v>0</v>
      </c>
      <c r="E89" s="8">
        <f>SUMIFS(Dados!$I$1:$I$1993,Dados!$B$1:$B$1993,E$7,Dados!$A$1:$A$1993,$A89)</f>
        <v>0</v>
      </c>
      <c r="F89" s="8">
        <f>SUMIFS(Dados!$I$1:$I$1993,Dados!$B$1:$B$1993,F$7,Dados!$A$1:$A$1993,$A89)</f>
        <v>0</v>
      </c>
      <c r="G89" s="8">
        <f>SUMIFS(Dados!$I$1:$I$1993,Dados!$B$1:$B$1993,G$7,Dados!$A$1:$A$1993,$A89)</f>
        <v>0</v>
      </c>
      <c r="H89" s="8">
        <f>SUMIFS(Dados!$I$1:$I$1993,Dados!$B$1:$B$1993,H$7,Dados!$A$1:$A$1993,$A89)</f>
        <v>0</v>
      </c>
      <c r="I89" s="8">
        <f t="shared" si="6"/>
        <v>0</v>
      </c>
      <c r="J89" s="8">
        <f t="shared" si="14"/>
        <v>0</v>
      </c>
      <c r="K89" s="7">
        <f t="shared" si="8"/>
        <v>0</v>
      </c>
      <c r="L89" s="9">
        <f t="shared" si="11"/>
        <v>0</v>
      </c>
      <c r="N89" s="35"/>
    </row>
    <row r="90" spans="1:14" ht="24" customHeight="1" x14ac:dyDescent="0.25">
      <c r="A90" s="58">
        <f t="shared" si="9"/>
        <v>1236</v>
      </c>
      <c r="B90" s="25">
        <f t="shared" si="10"/>
        <v>82</v>
      </c>
      <c r="C90" s="8">
        <f>SUMIFS(Dados!$I$1:$I$1993,Dados!$B$1:$B$1993,C$7,Dados!$A$1:$A$1993,$A90)</f>
        <v>0</v>
      </c>
      <c r="D90" s="8">
        <f>SUMIFS(Dados!$I$1:$I$1993,Dados!$B$1:$B$1993,D$7,Dados!$A$1:$A$1993,$A90)</f>
        <v>0</v>
      </c>
      <c r="E90" s="8">
        <f>SUMIFS(Dados!$I$1:$I$1993,Dados!$B$1:$B$1993,E$7,Dados!$A$1:$A$1993,$A90)</f>
        <v>0</v>
      </c>
      <c r="F90" s="8">
        <f>SUMIFS(Dados!$I$1:$I$1993,Dados!$B$1:$B$1993,F$7,Dados!$A$1:$A$1993,$A90)</f>
        <v>0</v>
      </c>
      <c r="G90" s="8">
        <f>SUMIFS(Dados!$I$1:$I$1993,Dados!$B$1:$B$1993,G$7,Dados!$A$1:$A$1993,$A90)</f>
        <v>0</v>
      </c>
      <c r="H90" s="8">
        <f>SUMIFS(Dados!$I$1:$I$1993,Dados!$B$1:$B$1993,H$7,Dados!$A$1:$A$1993,$A90)</f>
        <v>0</v>
      </c>
      <c r="I90" s="8">
        <f t="shared" si="6"/>
        <v>0</v>
      </c>
      <c r="J90" s="8">
        <f t="shared" si="14"/>
        <v>0</v>
      </c>
      <c r="K90" s="7">
        <f t="shared" si="8"/>
        <v>0</v>
      </c>
      <c r="L90" s="9">
        <f t="shared" si="11"/>
        <v>0</v>
      </c>
      <c r="N90" s="35"/>
    </row>
    <row r="91" spans="1:14" ht="24" customHeight="1" x14ac:dyDescent="0.25">
      <c r="A91" s="58">
        <f t="shared" si="9"/>
        <v>1252</v>
      </c>
      <c r="B91" s="25">
        <f t="shared" si="10"/>
        <v>83</v>
      </c>
      <c r="C91" s="8">
        <f>SUMIFS(Dados!$I$1:$I$1993,Dados!$B$1:$B$1993,C$7,Dados!$A$1:$A$1993,$A91)</f>
        <v>0</v>
      </c>
      <c r="D91" s="8">
        <f>SUMIFS(Dados!$I$1:$I$1993,Dados!$B$1:$B$1993,D$7,Dados!$A$1:$A$1993,$A91)</f>
        <v>0</v>
      </c>
      <c r="E91" s="8">
        <f>SUMIFS(Dados!$I$1:$I$1993,Dados!$B$1:$B$1993,E$7,Dados!$A$1:$A$1993,$A91)</f>
        <v>0</v>
      </c>
      <c r="F91" s="8">
        <f>SUMIFS(Dados!$I$1:$I$1993,Dados!$B$1:$B$1993,F$7,Dados!$A$1:$A$1993,$A91)</f>
        <v>0</v>
      </c>
      <c r="G91" s="8">
        <f>SUMIFS(Dados!$I$1:$I$1993,Dados!$B$1:$B$1993,G$7,Dados!$A$1:$A$1993,$A91)</f>
        <v>0</v>
      </c>
      <c r="H91" s="8">
        <f>SUMIFS(Dados!$I$1:$I$1993,Dados!$B$1:$B$1993,H$7,Dados!$A$1:$A$1993,$A91)</f>
        <v>0</v>
      </c>
      <c r="I91" s="8">
        <f t="shared" si="6"/>
        <v>0</v>
      </c>
      <c r="J91" s="8">
        <f t="shared" si="14"/>
        <v>0</v>
      </c>
      <c r="K91" s="7">
        <f t="shared" si="8"/>
        <v>0</v>
      </c>
      <c r="L91" s="9">
        <f t="shared" si="11"/>
        <v>0</v>
      </c>
      <c r="N91" s="35"/>
    </row>
    <row r="92" spans="1:14" ht="24" customHeight="1" x14ac:dyDescent="0.25">
      <c r="A92" s="58">
        <f t="shared" si="9"/>
        <v>1267</v>
      </c>
      <c r="B92" s="25">
        <f t="shared" si="10"/>
        <v>84</v>
      </c>
      <c r="C92" s="8">
        <f>SUMIFS(Dados!$I$1:$I$1993,Dados!$B$1:$B$1993,C$7,Dados!$A$1:$A$1993,$A92)</f>
        <v>0</v>
      </c>
      <c r="D92" s="8">
        <f>SUMIFS(Dados!$I$1:$I$1993,Dados!$B$1:$B$1993,D$7,Dados!$A$1:$A$1993,$A92)</f>
        <v>0</v>
      </c>
      <c r="E92" s="8">
        <f>SUMIFS(Dados!$I$1:$I$1993,Dados!$B$1:$B$1993,E$7,Dados!$A$1:$A$1993,$A92)</f>
        <v>0</v>
      </c>
      <c r="F92" s="8">
        <f>SUMIFS(Dados!$I$1:$I$1993,Dados!$B$1:$B$1993,F$7,Dados!$A$1:$A$1993,$A92)</f>
        <v>0</v>
      </c>
      <c r="G92" s="8">
        <f>SUMIFS(Dados!$I$1:$I$1993,Dados!$B$1:$B$1993,G$7,Dados!$A$1:$A$1993,$A92)</f>
        <v>0</v>
      </c>
      <c r="H92" s="8">
        <f>SUMIFS(Dados!$I$1:$I$1993,Dados!$B$1:$B$1993,H$7,Dados!$A$1:$A$1993,$A92)</f>
        <v>0</v>
      </c>
      <c r="I92" s="8">
        <f t="shared" si="6"/>
        <v>0</v>
      </c>
      <c r="J92" s="8">
        <f t="shared" si="14"/>
        <v>0</v>
      </c>
      <c r="K92" s="7">
        <f t="shared" si="8"/>
        <v>0</v>
      </c>
      <c r="L92" s="9">
        <f t="shared" si="11"/>
        <v>0</v>
      </c>
      <c r="N92" s="35"/>
    </row>
    <row r="93" spans="1:14" ht="24" customHeight="1" x14ac:dyDescent="0.25">
      <c r="A93" s="58">
        <f t="shared" si="9"/>
        <v>1282</v>
      </c>
      <c r="B93" s="25">
        <f t="shared" si="10"/>
        <v>85</v>
      </c>
      <c r="C93" s="8">
        <f>SUMIFS(Dados!$I$1:$I$1993,Dados!$B$1:$B$1993,C$7,Dados!$A$1:$A$1993,$A93)</f>
        <v>0</v>
      </c>
      <c r="D93" s="8">
        <f>SUMIFS(Dados!$I$1:$I$1993,Dados!$B$1:$B$1993,D$7,Dados!$A$1:$A$1993,$A93)</f>
        <v>0</v>
      </c>
      <c r="E93" s="8">
        <f>SUMIFS(Dados!$I$1:$I$1993,Dados!$B$1:$B$1993,E$7,Dados!$A$1:$A$1993,$A93)</f>
        <v>0</v>
      </c>
      <c r="F93" s="8">
        <f>SUMIFS(Dados!$I$1:$I$1993,Dados!$B$1:$B$1993,F$7,Dados!$A$1:$A$1993,$A93)</f>
        <v>0</v>
      </c>
      <c r="G93" s="8">
        <f>SUMIFS(Dados!$I$1:$I$1993,Dados!$B$1:$B$1993,G$7,Dados!$A$1:$A$1993,$A93)</f>
        <v>0</v>
      </c>
      <c r="H93" s="8">
        <f>SUMIFS(Dados!$I$1:$I$1993,Dados!$B$1:$B$1993,H$7,Dados!$A$1:$A$1993,$A93)</f>
        <v>0</v>
      </c>
      <c r="I93" s="8">
        <f t="shared" si="6"/>
        <v>0</v>
      </c>
      <c r="J93" s="8">
        <f t="shared" si="14"/>
        <v>0</v>
      </c>
      <c r="K93" s="7">
        <f t="shared" si="8"/>
        <v>0</v>
      </c>
      <c r="L93" s="9">
        <f t="shared" si="11"/>
        <v>0</v>
      </c>
      <c r="N93" s="35"/>
    </row>
    <row r="94" spans="1:14" ht="24" customHeight="1" x14ac:dyDescent="0.25">
      <c r="A94" s="58">
        <f t="shared" si="9"/>
        <v>1297</v>
      </c>
      <c r="B94" s="25">
        <f t="shared" si="10"/>
        <v>86</v>
      </c>
      <c r="C94" s="8">
        <f>SUMIFS(Dados!$I$1:$I$1993,Dados!$B$1:$B$1993,C$7,Dados!$A$1:$A$1993,$A94)</f>
        <v>0</v>
      </c>
      <c r="D94" s="8">
        <f>SUMIFS(Dados!$I$1:$I$1993,Dados!$B$1:$B$1993,D$7,Dados!$A$1:$A$1993,$A94)</f>
        <v>0</v>
      </c>
      <c r="E94" s="8">
        <f>SUMIFS(Dados!$I$1:$I$1993,Dados!$B$1:$B$1993,E$7,Dados!$A$1:$A$1993,$A94)</f>
        <v>0</v>
      </c>
      <c r="F94" s="8">
        <f>SUMIFS(Dados!$I$1:$I$1993,Dados!$B$1:$B$1993,F$7,Dados!$A$1:$A$1993,$A94)</f>
        <v>0</v>
      </c>
      <c r="G94" s="8">
        <f>SUMIFS(Dados!$I$1:$I$1993,Dados!$B$1:$B$1993,G$7,Dados!$A$1:$A$1993,$A94)</f>
        <v>0</v>
      </c>
      <c r="H94" s="8">
        <f>SUMIFS(Dados!$I$1:$I$1993,Dados!$B$1:$B$1993,H$7,Dados!$A$1:$A$1993,$A94)</f>
        <v>0</v>
      </c>
      <c r="I94" s="8">
        <f t="shared" si="6"/>
        <v>0</v>
      </c>
      <c r="J94" s="8">
        <f t="shared" si="14"/>
        <v>0</v>
      </c>
      <c r="K94" s="7">
        <f t="shared" si="8"/>
        <v>0</v>
      </c>
      <c r="L94" s="9">
        <f t="shared" si="11"/>
        <v>0</v>
      </c>
      <c r="N94" s="35"/>
    </row>
    <row r="95" spans="1:14" ht="24" customHeight="1" x14ac:dyDescent="0.25">
      <c r="A95" s="58">
        <f t="shared" si="9"/>
        <v>1313</v>
      </c>
      <c r="B95" s="25">
        <f t="shared" si="10"/>
        <v>87</v>
      </c>
      <c r="C95" s="8">
        <f>SUMIFS(Dados!$I$1:$I$1993,Dados!$B$1:$B$1993,C$7,Dados!$A$1:$A$1993,$A95)</f>
        <v>0</v>
      </c>
      <c r="D95" s="8">
        <f>SUMIFS(Dados!$I$1:$I$1993,Dados!$B$1:$B$1993,D$7,Dados!$A$1:$A$1993,$A95)</f>
        <v>0</v>
      </c>
      <c r="E95" s="8">
        <f>SUMIFS(Dados!$I$1:$I$1993,Dados!$B$1:$B$1993,E$7,Dados!$A$1:$A$1993,$A95)</f>
        <v>0</v>
      </c>
      <c r="F95" s="8">
        <f>SUMIFS(Dados!$I$1:$I$1993,Dados!$B$1:$B$1993,F$7,Dados!$A$1:$A$1993,$A95)</f>
        <v>0</v>
      </c>
      <c r="G95" s="8">
        <f>SUMIFS(Dados!$I$1:$I$1993,Dados!$B$1:$B$1993,G$7,Dados!$A$1:$A$1993,$A95)</f>
        <v>0</v>
      </c>
      <c r="H95" s="8">
        <f>SUMIFS(Dados!$I$1:$I$1993,Dados!$B$1:$B$1993,H$7,Dados!$A$1:$A$1993,$A95)</f>
        <v>0</v>
      </c>
      <c r="I95" s="8">
        <f t="shared" si="6"/>
        <v>0</v>
      </c>
      <c r="J95" s="8">
        <f t="shared" si="14"/>
        <v>0</v>
      </c>
      <c r="K95" s="7">
        <f t="shared" si="8"/>
        <v>0</v>
      </c>
      <c r="L95" s="9">
        <f t="shared" si="11"/>
        <v>0</v>
      </c>
      <c r="N95" s="35"/>
    </row>
    <row r="96" spans="1:14" ht="24" customHeight="1" x14ac:dyDescent="0.25">
      <c r="A96" s="58">
        <f t="shared" si="9"/>
        <v>1328</v>
      </c>
      <c r="B96" s="25">
        <f t="shared" si="10"/>
        <v>88</v>
      </c>
      <c r="C96" s="8">
        <f>SUMIFS(Dados!$I$1:$I$1993,Dados!$B$1:$B$1993,C$7,Dados!$A$1:$A$1993,$A96)</f>
        <v>0</v>
      </c>
      <c r="D96" s="8">
        <f>SUMIFS(Dados!$I$1:$I$1993,Dados!$B$1:$B$1993,D$7,Dados!$A$1:$A$1993,$A96)</f>
        <v>0</v>
      </c>
      <c r="E96" s="8">
        <f>SUMIFS(Dados!$I$1:$I$1993,Dados!$B$1:$B$1993,E$7,Dados!$A$1:$A$1993,$A96)</f>
        <v>0</v>
      </c>
      <c r="F96" s="8">
        <f>SUMIFS(Dados!$I$1:$I$1993,Dados!$B$1:$B$1993,F$7,Dados!$A$1:$A$1993,$A96)</f>
        <v>0</v>
      </c>
      <c r="G96" s="8">
        <f>SUMIFS(Dados!$I$1:$I$1993,Dados!$B$1:$B$1993,G$7,Dados!$A$1:$A$1993,$A96)</f>
        <v>0</v>
      </c>
      <c r="H96" s="8">
        <f>SUMIFS(Dados!$I$1:$I$1993,Dados!$B$1:$B$1993,H$7,Dados!$A$1:$A$1993,$A96)</f>
        <v>0</v>
      </c>
      <c r="I96" s="8">
        <f t="shared" si="6"/>
        <v>0</v>
      </c>
      <c r="J96" s="8">
        <f t="shared" si="14"/>
        <v>0</v>
      </c>
      <c r="K96" s="7">
        <f t="shared" si="8"/>
        <v>0</v>
      </c>
      <c r="L96" s="9">
        <f t="shared" si="11"/>
        <v>0</v>
      </c>
      <c r="N96" s="35"/>
    </row>
    <row r="97" spans="1:14" ht="24" customHeight="1" x14ac:dyDescent="0.25">
      <c r="A97" s="58">
        <f t="shared" si="9"/>
        <v>1344</v>
      </c>
      <c r="B97" s="25">
        <f t="shared" si="10"/>
        <v>89</v>
      </c>
      <c r="C97" s="8">
        <f>SUMIFS(Dados!$I$1:$I$1993,Dados!$B$1:$B$1993,C$7,Dados!$A$1:$A$1993,$A97)</f>
        <v>0</v>
      </c>
      <c r="D97" s="8">
        <f>SUMIFS(Dados!$I$1:$I$1993,Dados!$B$1:$B$1993,D$7,Dados!$A$1:$A$1993,$A97)</f>
        <v>0</v>
      </c>
      <c r="E97" s="8">
        <f>SUMIFS(Dados!$I$1:$I$1993,Dados!$B$1:$B$1993,E$7,Dados!$A$1:$A$1993,$A97)</f>
        <v>0</v>
      </c>
      <c r="F97" s="8">
        <f>SUMIFS(Dados!$I$1:$I$1993,Dados!$B$1:$B$1993,F$7,Dados!$A$1:$A$1993,$A97)</f>
        <v>0</v>
      </c>
      <c r="G97" s="8">
        <f>SUMIFS(Dados!$I$1:$I$1993,Dados!$B$1:$B$1993,G$7,Dados!$A$1:$A$1993,$A97)</f>
        <v>0</v>
      </c>
      <c r="H97" s="8">
        <f>SUMIFS(Dados!$I$1:$I$1993,Dados!$B$1:$B$1993,H$7,Dados!$A$1:$A$1993,$A97)</f>
        <v>0</v>
      </c>
      <c r="I97" s="8">
        <f t="shared" ref="I97:I104" si="15">SUM(C97:H97)</f>
        <v>0</v>
      </c>
      <c r="J97" s="8">
        <f t="shared" si="14"/>
        <v>0</v>
      </c>
      <c r="K97" s="7">
        <f t="shared" ref="K97:K104" si="16">SUM(I97:J97)</f>
        <v>0</v>
      </c>
      <c r="L97" s="9">
        <f t="shared" si="11"/>
        <v>0</v>
      </c>
      <c r="N97" s="35"/>
    </row>
    <row r="98" spans="1:14" ht="24" customHeight="1" x14ac:dyDescent="0.25">
      <c r="A98" s="58">
        <f t="shared" si="9"/>
        <v>1359</v>
      </c>
      <c r="B98" s="25">
        <f t="shared" si="10"/>
        <v>90</v>
      </c>
      <c r="C98" s="8">
        <f>SUMIFS(Dados!$I$1:$I$1993,Dados!$B$1:$B$1993,C$7,Dados!$A$1:$A$1993,$A98)</f>
        <v>0</v>
      </c>
      <c r="D98" s="8">
        <f>SUMIFS(Dados!$I$1:$I$1993,Dados!$B$1:$B$1993,D$7,Dados!$A$1:$A$1993,$A98)</f>
        <v>0</v>
      </c>
      <c r="E98" s="8">
        <f>SUMIFS(Dados!$I$1:$I$1993,Dados!$B$1:$B$1993,E$7,Dados!$A$1:$A$1993,$A98)</f>
        <v>0</v>
      </c>
      <c r="F98" s="8">
        <f>SUMIFS(Dados!$I$1:$I$1993,Dados!$B$1:$B$1993,F$7,Dados!$A$1:$A$1993,$A98)</f>
        <v>0</v>
      </c>
      <c r="G98" s="8">
        <f>SUMIFS(Dados!$I$1:$I$1993,Dados!$B$1:$B$1993,G$7,Dados!$A$1:$A$1993,$A98)</f>
        <v>0</v>
      </c>
      <c r="H98" s="8">
        <f>SUMIFS(Dados!$I$1:$I$1993,Dados!$B$1:$B$1993,H$7,Dados!$A$1:$A$1993,$A98)</f>
        <v>0</v>
      </c>
      <c r="I98" s="8">
        <f t="shared" si="15"/>
        <v>0</v>
      </c>
      <c r="J98" s="8">
        <f t="shared" si="14"/>
        <v>0</v>
      </c>
      <c r="K98" s="7">
        <f t="shared" si="16"/>
        <v>0</v>
      </c>
      <c r="L98" s="9">
        <f t="shared" si="11"/>
        <v>0</v>
      </c>
      <c r="N98" s="35"/>
    </row>
    <row r="99" spans="1:14" ht="24" customHeight="1" x14ac:dyDescent="0.25">
      <c r="A99" s="58">
        <f t="shared" si="9"/>
        <v>1374</v>
      </c>
      <c r="B99" s="25">
        <f t="shared" si="10"/>
        <v>91</v>
      </c>
      <c r="C99" s="8">
        <f>SUMIFS(Dados!$I$1:$I$1993,Dados!$B$1:$B$1993,C$7,Dados!$A$1:$A$1993,$A99)</f>
        <v>0</v>
      </c>
      <c r="D99" s="8">
        <f>SUMIFS(Dados!$I$1:$I$1993,Dados!$B$1:$B$1993,D$7,Dados!$A$1:$A$1993,$A99)</f>
        <v>0</v>
      </c>
      <c r="E99" s="8">
        <f>SUMIFS(Dados!$I$1:$I$1993,Dados!$B$1:$B$1993,E$7,Dados!$A$1:$A$1993,$A99)</f>
        <v>0</v>
      </c>
      <c r="F99" s="8">
        <f>SUMIFS(Dados!$I$1:$I$1993,Dados!$B$1:$B$1993,F$7,Dados!$A$1:$A$1993,$A99)</f>
        <v>0</v>
      </c>
      <c r="G99" s="8">
        <f>SUMIFS(Dados!$I$1:$I$1993,Dados!$B$1:$B$1993,G$7,Dados!$A$1:$A$1993,$A99)</f>
        <v>0</v>
      </c>
      <c r="H99" s="8">
        <f>SUMIFS(Dados!$I$1:$I$1993,Dados!$B$1:$B$1993,H$7,Dados!$A$1:$A$1993,$A99)</f>
        <v>0</v>
      </c>
      <c r="I99" s="8">
        <f t="shared" si="15"/>
        <v>0</v>
      </c>
      <c r="J99" s="8">
        <f t="shared" si="14"/>
        <v>0</v>
      </c>
      <c r="K99" s="7">
        <f t="shared" si="16"/>
        <v>0</v>
      </c>
      <c r="L99" s="9">
        <f t="shared" si="11"/>
        <v>0</v>
      </c>
      <c r="N99" s="35"/>
    </row>
    <row r="100" spans="1:14" ht="24" customHeight="1" x14ac:dyDescent="0.25">
      <c r="A100" s="58">
        <f t="shared" si="9"/>
        <v>1389</v>
      </c>
      <c r="B100" s="25">
        <f t="shared" si="10"/>
        <v>92</v>
      </c>
      <c r="C100" s="8">
        <f>SUMIFS(Dados!$I$1:$I$1993,Dados!$B$1:$B$1993,C$7,Dados!$A$1:$A$1993,$A100)</f>
        <v>0</v>
      </c>
      <c r="D100" s="8">
        <f>SUMIFS(Dados!$I$1:$I$1993,Dados!$B$1:$B$1993,D$7,Dados!$A$1:$A$1993,$A100)</f>
        <v>0</v>
      </c>
      <c r="E100" s="8">
        <f>SUMIFS(Dados!$I$1:$I$1993,Dados!$B$1:$B$1993,E$7,Dados!$A$1:$A$1993,$A100)</f>
        <v>0</v>
      </c>
      <c r="F100" s="8">
        <f>SUMIFS(Dados!$I$1:$I$1993,Dados!$B$1:$B$1993,F$7,Dados!$A$1:$A$1993,$A100)</f>
        <v>0</v>
      </c>
      <c r="G100" s="8">
        <f>SUMIFS(Dados!$I$1:$I$1993,Dados!$B$1:$B$1993,G$7,Dados!$A$1:$A$1993,$A100)</f>
        <v>0</v>
      </c>
      <c r="H100" s="8">
        <f>SUMIFS(Dados!$I$1:$I$1993,Dados!$B$1:$B$1993,H$7,Dados!$A$1:$A$1993,$A100)</f>
        <v>0</v>
      </c>
      <c r="I100" s="8">
        <f t="shared" si="15"/>
        <v>0</v>
      </c>
      <c r="J100" s="8">
        <f t="shared" si="14"/>
        <v>0</v>
      </c>
      <c r="K100" s="7">
        <f t="shared" si="16"/>
        <v>0</v>
      </c>
      <c r="L100" s="9">
        <f t="shared" si="11"/>
        <v>0</v>
      </c>
      <c r="N100" s="35"/>
    </row>
    <row r="101" spans="1:14" ht="24" customHeight="1" x14ac:dyDescent="0.25">
      <c r="A101" s="58">
        <f t="shared" si="9"/>
        <v>1405</v>
      </c>
      <c r="B101" s="25">
        <f t="shared" si="10"/>
        <v>93</v>
      </c>
      <c r="C101" s="8">
        <f>SUMIFS(Dados!$I$1:$I$1993,Dados!$B$1:$B$1993,C$7,Dados!$A$1:$A$1993,$A101)</f>
        <v>0</v>
      </c>
      <c r="D101" s="8">
        <f>SUMIFS(Dados!$I$1:$I$1993,Dados!$B$1:$B$1993,D$7,Dados!$A$1:$A$1993,$A101)</f>
        <v>0</v>
      </c>
      <c r="E101" s="8">
        <f>SUMIFS(Dados!$I$1:$I$1993,Dados!$B$1:$B$1993,E$7,Dados!$A$1:$A$1993,$A101)</f>
        <v>0</v>
      </c>
      <c r="F101" s="8">
        <f>SUMIFS(Dados!$I$1:$I$1993,Dados!$B$1:$B$1993,F$7,Dados!$A$1:$A$1993,$A101)</f>
        <v>0</v>
      </c>
      <c r="G101" s="8">
        <f>SUMIFS(Dados!$I$1:$I$1993,Dados!$B$1:$B$1993,G$7,Dados!$A$1:$A$1993,$A101)</f>
        <v>0</v>
      </c>
      <c r="H101" s="8">
        <f>SUMIFS(Dados!$I$1:$I$1993,Dados!$B$1:$B$1993,H$7,Dados!$A$1:$A$1993,$A101)</f>
        <v>0</v>
      </c>
      <c r="I101" s="8">
        <f t="shared" si="15"/>
        <v>0</v>
      </c>
      <c r="J101" s="8">
        <f t="shared" si="14"/>
        <v>0</v>
      </c>
      <c r="K101" s="7">
        <f t="shared" si="16"/>
        <v>0</v>
      </c>
      <c r="L101" s="9">
        <f t="shared" si="11"/>
        <v>0</v>
      </c>
      <c r="N101" s="35"/>
    </row>
    <row r="102" spans="1:14" ht="24" customHeight="1" x14ac:dyDescent="0.25">
      <c r="A102" s="58">
        <f t="shared" si="9"/>
        <v>1420</v>
      </c>
      <c r="B102" s="25">
        <f t="shared" si="10"/>
        <v>94</v>
      </c>
      <c r="C102" s="8">
        <f>SUMIFS(Dados!$I$1:$I$1993,Dados!$B$1:$B$1993,C$7,Dados!$A$1:$A$1993,$A102)</f>
        <v>0</v>
      </c>
      <c r="D102" s="8">
        <f>SUMIFS(Dados!$I$1:$I$1993,Dados!$B$1:$B$1993,D$7,Dados!$A$1:$A$1993,$A102)</f>
        <v>0</v>
      </c>
      <c r="E102" s="8">
        <f>SUMIFS(Dados!$I$1:$I$1993,Dados!$B$1:$B$1993,E$7,Dados!$A$1:$A$1993,$A102)</f>
        <v>0</v>
      </c>
      <c r="F102" s="8">
        <f>SUMIFS(Dados!$I$1:$I$1993,Dados!$B$1:$B$1993,F$7,Dados!$A$1:$A$1993,$A102)</f>
        <v>0</v>
      </c>
      <c r="G102" s="8">
        <f>SUMIFS(Dados!$I$1:$I$1993,Dados!$B$1:$B$1993,G$7,Dados!$A$1:$A$1993,$A102)</f>
        <v>0</v>
      </c>
      <c r="H102" s="8">
        <f>SUMIFS(Dados!$I$1:$I$1993,Dados!$B$1:$B$1993,H$7,Dados!$A$1:$A$1993,$A102)</f>
        <v>0</v>
      </c>
      <c r="I102" s="8">
        <f t="shared" si="15"/>
        <v>0</v>
      </c>
      <c r="J102" s="8">
        <f t="shared" si="14"/>
        <v>0</v>
      </c>
      <c r="K102" s="7">
        <f t="shared" si="16"/>
        <v>0</v>
      </c>
      <c r="L102" s="9">
        <f t="shared" si="11"/>
        <v>0</v>
      </c>
      <c r="N102" s="35"/>
    </row>
    <row r="103" spans="1:14" ht="24" customHeight="1" x14ac:dyDescent="0.25">
      <c r="A103" s="58">
        <f t="shared" si="9"/>
        <v>1435</v>
      </c>
      <c r="B103" s="25">
        <f t="shared" si="10"/>
        <v>95</v>
      </c>
      <c r="C103" s="8">
        <f>SUMIFS(Dados!$I$1:$I$1993,Dados!$B$1:$B$1993,C$7,Dados!$A$1:$A$1993,$A103)</f>
        <v>0</v>
      </c>
      <c r="D103" s="8">
        <f>SUMIFS(Dados!$I$1:$I$1993,Dados!$B$1:$B$1993,D$7,Dados!$A$1:$A$1993,$A103)</f>
        <v>0</v>
      </c>
      <c r="E103" s="8">
        <f>SUMIFS(Dados!$I$1:$I$1993,Dados!$B$1:$B$1993,E$7,Dados!$A$1:$A$1993,$A103)</f>
        <v>0</v>
      </c>
      <c r="F103" s="8">
        <f>SUMIFS(Dados!$I$1:$I$1993,Dados!$B$1:$B$1993,F$7,Dados!$A$1:$A$1993,$A103)</f>
        <v>0</v>
      </c>
      <c r="G103" s="8">
        <f>SUMIFS(Dados!$I$1:$I$1993,Dados!$B$1:$B$1993,G$7,Dados!$A$1:$A$1993,$A103)</f>
        <v>0</v>
      </c>
      <c r="H103" s="8">
        <f>SUMIFS(Dados!$I$1:$I$1993,Dados!$B$1:$B$1993,H$7,Dados!$A$1:$A$1993,$A103)</f>
        <v>0</v>
      </c>
      <c r="I103" s="8">
        <f t="shared" si="15"/>
        <v>0</v>
      </c>
      <c r="J103" s="8">
        <f t="shared" si="14"/>
        <v>0</v>
      </c>
      <c r="K103" s="7">
        <f t="shared" si="16"/>
        <v>0</v>
      </c>
      <c r="L103" s="9">
        <f t="shared" si="11"/>
        <v>0</v>
      </c>
      <c r="N103" s="35"/>
    </row>
    <row r="104" spans="1:14" ht="24" customHeight="1" thickBot="1" x14ac:dyDescent="0.3">
      <c r="A104" s="58">
        <f t="shared" si="9"/>
        <v>1450</v>
      </c>
      <c r="B104" s="25">
        <f t="shared" si="10"/>
        <v>96</v>
      </c>
      <c r="C104" s="8">
        <f>SUMIFS(Dados!$I$1:$I$1993,Dados!$B$1:$B$1993,C$7,Dados!$A$1:$A$1993,$A104)</f>
        <v>0</v>
      </c>
      <c r="D104" s="8">
        <f>SUMIFS(Dados!$I$1:$I$1993,Dados!$B$1:$B$1993,D$7,Dados!$A$1:$A$1993,$A104)</f>
        <v>0</v>
      </c>
      <c r="E104" s="8">
        <f>SUMIFS(Dados!$I$1:$I$1993,Dados!$B$1:$B$1993,E$7,Dados!$A$1:$A$1993,$A104)</f>
        <v>0</v>
      </c>
      <c r="F104" s="8">
        <f>SUMIFS(Dados!$I$1:$I$1993,Dados!$B$1:$B$1993,F$7,Dados!$A$1:$A$1993,$A104)</f>
        <v>0</v>
      </c>
      <c r="G104" s="8">
        <f>SUMIFS(Dados!$I$1:$I$1993,Dados!$B$1:$B$1993,G$7,Dados!$A$1:$A$1993,$A104)</f>
        <v>0</v>
      </c>
      <c r="H104" s="8">
        <f>SUMIFS(Dados!$I$1:$I$1993,Dados!$B$1:$B$1993,H$7,Dados!$A$1:$A$1993,$A104)</f>
        <v>0</v>
      </c>
      <c r="I104" s="8">
        <f t="shared" si="15"/>
        <v>0</v>
      </c>
      <c r="J104" s="8">
        <f t="shared" si="14"/>
        <v>0</v>
      </c>
      <c r="K104" s="7">
        <f t="shared" si="16"/>
        <v>0</v>
      </c>
      <c r="L104" s="9">
        <f t="shared" si="11"/>
        <v>0</v>
      </c>
      <c r="N104" s="35"/>
    </row>
    <row r="105" spans="1:14" ht="36" customHeight="1" thickTop="1" thickBot="1" x14ac:dyDescent="0.3">
      <c r="A105" s="20" t="s">
        <v>17</v>
      </c>
      <c r="B105" s="20"/>
      <c r="C105" s="14">
        <f t="shared" ref="C105:K105" si="17">SUM(C9:C104)</f>
        <v>0</v>
      </c>
      <c r="D105" s="14">
        <f t="shared" si="17"/>
        <v>0</v>
      </c>
      <c r="E105" s="14">
        <f t="shared" si="17"/>
        <v>0</v>
      </c>
      <c r="F105" s="14">
        <f t="shared" si="17"/>
        <v>0</v>
      </c>
      <c r="G105" s="14">
        <f t="shared" si="17"/>
        <v>0</v>
      </c>
      <c r="H105" s="14">
        <f t="shared" si="17"/>
        <v>0</v>
      </c>
      <c r="I105" s="14">
        <f t="shared" si="17"/>
        <v>0</v>
      </c>
      <c r="J105" s="14">
        <f t="shared" si="17"/>
        <v>0</v>
      </c>
      <c r="K105" s="14">
        <f t="shared" si="17"/>
        <v>0</v>
      </c>
      <c r="L105" s="15"/>
    </row>
    <row r="106" spans="1:14" ht="50.1" hidden="1" customHeight="1" x14ac:dyDescent="0.25">
      <c r="A106" s="21"/>
      <c r="B106" s="21"/>
    </row>
    <row r="107" spans="1:14" ht="50.1" hidden="1" customHeight="1" x14ac:dyDescent="0.25">
      <c r="A107" s="21"/>
      <c r="B107" s="21"/>
    </row>
  </sheetData>
  <mergeCells count="2">
    <mergeCell ref="G1:L1"/>
    <mergeCell ref="P1:T1"/>
  </mergeCells>
  <printOptions horizontalCentered="1"/>
  <pageMargins left="0" right="0" top="0.59055118110236227" bottom="0.19685039370078741" header="0.31496062992125978" footer="0.31496062992125978"/>
  <pageSetup paperSize="9" scale="65" fitToHeight="6" orientation="portrait"/>
  <colBreaks count="1" manualBreakCount="1">
    <brk id="12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R50"/>
  <sheetViews>
    <sheetView showGridLines="0" zoomScale="80" zoomScaleNormal="80" workbookViewId="0">
      <selection activeCell="C9" sqref="C9"/>
    </sheetView>
  </sheetViews>
  <sheetFormatPr defaultColWidth="8.875" defaultRowHeight="15.75" x14ac:dyDescent="0.25"/>
  <cols>
    <col min="1" max="1" width="13.875" style="1" customWidth="1"/>
    <col min="2" max="2" width="4.875" style="1" customWidth="1"/>
    <col min="3" max="9" width="15.875" style="1" customWidth="1"/>
    <col min="10" max="10" width="16.875" style="1" customWidth="1"/>
    <col min="11" max="72" width="8.875" style="1" customWidth="1"/>
    <col min="73" max="16384" width="8.875" style="1"/>
  </cols>
  <sheetData>
    <row r="1" spans="1:18" ht="69.95" customHeight="1" x14ac:dyDescent="0.25">
      <c r="D1" s="2"/>
      <c r="E1" s="2"/>
      <c r="G1" s="59" t="s">
        <v>0</v>
      </c>
      <c r="H1" s="60"/>
      <c r="I1" s="60"/>
      <c r="J1" s="60"/>
      <c r="L1" s="2"/>
      <c r="M1" s="2"/>
      <c r="N1" s="59"/>
      <c r="O1" s="60"/>
      <c r="P1" s="60"/>
      <c r="Q1" s="60"/>
      <c r="R1" s="60"/>
    </row>
    <row r="2" spans="1:18" ht="35.1" customHeight="1" x14ac:dyDescent="0.25">
      <c r="D2" s="2"/>
      <c r="E2" s="2"/>
      <c r="L2" s="2"/>
      <c r="M2" s="2"/>
      <c r="O2" s="2"/>
    </row>
    <row r="3" spans="1:18" ht="35.1" customHeight="1" x14ac:dyDescent="0.25">
      <c r="A3" s="33" t="str">
        <f>RESUMO!A3</f>
        <v>[NOME]</v>
      </c>
      <c r="B3" s="5"/>
      <c r="D3" s="2"/>
      <c r="E3" s="2"/>
      <c r="K3" s="5"/>
      <c r="L3" s="2"/>
      <c r="M3" s="2"/>
      <c r="O3" s="2"/>
    </row>
    <row r="4" spans="1:18" ht="18.95" customHeight="1" x14ac:dyDescent="0.25">
      <c r="A4" s="34" t="str">
        <f>RESUMO!A4</f>
        <v>[ENDEREÇO]</v>
      </c>
      <c r="B4" s="3"/>
      <c r="D4" s="2"/>
      <c r="E4" s="2"/>
      <c r="K4" s="3"/>
      <c r="L4" s="2"/>
      <c r="M4" s="2"/>
      <c r="O4" s="2"/>
    </row>
    <row r="5" spans="1:18" ht="30" customHeight="1" x14ac:dyDescent="0.25"/>
    <row r="6" spans="1:18" ht="50.1" customHeight="1" thickBot="1" x14ac:dyDescent="0.3">
      <c r="A6" s="22" t="s">
        <v>1</v>
      </c>
      <c r="B6" s="22"/>
    </row>
    <row r="7" spans="1:18" ht="17.100000000000001" hidden="1" customHeight="1" thickBot="1" x14ac:dyDescent="0.3">
      <c r="A7" s="21"/>
      <c r="B7" s="21"/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18" ht="39.950000000000003" customHeight="1" thickBot="1" x14ac:dyDescent="0.3">
      <c r="A8" s="30" t="s">
        <v>9</v>
      </c>
      <c r="B8" s="30"/>
      <c r="C8" s="16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6" t="s">
        <v>15</v>
      </c>
      <c r="I8" s="16" t="s">
        <v>16</v>
      </c>
      <c r="J8" s="17" t="s">
        <v>17</v>
      </c>
    </row>
    <row r="9" spans="1:18" ht="27.95" customHeight="1" thickTop="1" x14ac:dyDescent="0.25">
      <c r="A9" s="41">
        <f>DATE(YEAR(RESUMO!A9),MONTH(RESUMO!A9),1)</f>
        <v>1</v>
      </c>
      <c r="B9" s="36"/>
      <c r="C9" s="7">
        <f>SUMIFS(Dados!$I$1:$I$130,Dados!$K$1:$K$130,Tp.Despesas!C$7,Dados!$A$1:$A$130,"&gt;="&amp;$A9,Dados!$A$1:$A$130,"&lt;="&amp;EOMONTH($A9,0))</f>
        <v>0</v>
      </c>
      <c r="D9" s="7">
        <f>SUMIFS(Dados!$I$1:$I$130,Dados!$K$1:$K$130,Tp.Despesas!D$7,Dados!$A$1:$A$130,"&gt;="&amp;$A9,Dados!$A$1:$A$130,"&lt;="&amp;EOMONTH($A9,0))</f>
        <v>0</v>
      </c>
      <c r="E9" s="7">
        <f>SUMIFS(Dados!$I$1:$I$130,Dados!$K$1:$K$130,Tp.Despesas!E$7,Dados!$A$1:$A$130,"&gt;="&amp;$A9,Dados!$A$1:$A$130,"&lt;="&amp;EOMONTH($A9,0))</f>
        <v>0</v>
      </c>
      <c r="F9" s="7">
        <f>SUMIFS(Dados!$I$1:$I$130,Dados!$K$1:$K$130,Tp.Despesas!F$7,Dados!$A$1:$A$130,"&gt;="&amp;$A9,Dados!$A$1:$A$130,"&lt;="&amp;EOMONTH($A9,0))</f>
        <v>0</v>
      </c>
      <c r="G9" s="7">
        <f>SUMIFS(Dados!$I$1:$I$130,Dados!$K$1:$K$130,Tp.Despesas!G$7,Dados!$A$1:$A$130,"&gt;="&amp;$A9,Dados!$A$1:$A$130,"&lt;="&amp;EOMONTH($A9,0))</f>
        <v>0</v>
      </c>
      <c r="H9" s="7">
        <f>SUMIFS(Dados!$I$1:$I$130,Dados!$K$1:$K$130,Tp.Despesas!H$7,Dados!$A$1:$A$130,"&gt;="&amp;$A9,Dados!$A$1:$A$130,"&lt;="&amp;EOMONTH($A9,0))</f>
        <v>0</v>
      </c>
      <c r="I9" s="7">
        <f>SUMIFS(Dados!$I$1:$I$130,Dados!$K$1:$K$130,Tp.Despesas!I$7,Dados!$A$1:$A$130,"&gt;="&amp;$A9,Dados!$A$1:$A$130,"&lt;="&amp;EOMONTH($A9,0))</f>
        <v>0</v>
      </c>
      <c r="J9" s="19">
        <f>SUM(C9:I9)</f>
        <v>0</v>
      </c>
    </row>
    <row r="10" spans="1:18" ht="27.95" customHeight="1" x14ac:dyDescent="0.25">
      <c r="A10" s="41">
        <f>EOMONTH(A9,1)-DAY(EOMONTH(A9,1))+1</f>
        <v>32</v>
      </c>
      <c r="B10" s="37"/>
      <c r="C10" s="7">
        <f>SUMIFS(Dados!$I$1:$I$1993,Dados!$K$1:$K$1993,Tp.Despesas!C$7,Dados!$J$1:$J$1993,"&gt;="&amp;$A10,Dados!$J$1:$J$1993,"&lt;="&amp;EOMONTH($A10,0))</f>
        <v>0</v>
      </c>
      <c r="D10" s="7">
        <f>SUMIFS(Dados!$I$1:$I$1993,Dados!$K$1:$K$1993,Tp.Despesas!D$7,Dados!$J$1:$J$1993,"&gt;="&amp;$A10,Dados!$J$1:$J$1993,"&lt;="&amp;EOMONTH($A10,0))</f>
        <v>0</v>
      </c>
      <c r="E10" s="7">
        <f>SUMIFS(Dados!$I$1:$I$1993,Dados!$K$1:$K$1993,Tp.Despesas!E$7,Dados!$J$1:$J$1993,"&gt;="&amp;$A10,Dados!$J$1:$J$1993,"&lt;="&amp;EOMONTH($A10,0))</f>
        <v>0</v>
      </c>
      <c r="F10" s="7">
        <f>SUMIFS(Dados!$I$1:$I$1993,Dados!$K$1:$K$1993,Tp.Despesas!F$7,Dados!$J$1:$J$1993,"&gt;="&amp;$A10,Dados!$J$1:$J$1993,"&lt;="&amp;EOMONTH($A10,0))</f>
        <v>0</v>
      </c>
      <c r="G10" s="7">
        <f>SUMIFS(Dados!$I$1:$I$1993,Dados!$K$1:$K$1993,Tp.Despesas!G$7,Dados!$J$1:$J$1993,"&gt;="&amp;$A10,Dados!$J$1:$J$1993,"&lt;="&amp;EOMONTH($A10,0))</f>
        <v>0</v>
      </c>
      <c r="H10" s="7">
        <f>SUMIFS(Dados!$I$1:$I$1993,Dados!$K$1:$K$1993,Tp.Despesas!H$7,Dados!$J$1:$J$1993,"&gt;="&amp;$A10,Dados!$J$1:$J$1993,"&lt;="&amp;EOMONTH($A10,0))</f>
        <v>0</v>
      </c>
      <c r="I10" s="7">
        <f>SUMIFS(Dados!$I$1:$I$1993,Dados!$K$1:$K$1993,Tp.Despesas!I$7,Dados!$J$1:$J$1993,"&gt;="&amp;$A10,Dados!$J$1:$J$1993,"&lt;="&amp;EOMONTH($A10,0))</f>
        <v>0</v>
      </c>
      <c r="J10" s="19">
        <f>SUM(C10:I10)</f>
        <v>0</v>
      </c>
    </row>
    <row r="11" spans="1:18" ht="27.95" customHeight="1" x14ac:dyDescent="0.25">
      <c r="A11" s="41">
        <f t="shared" ref="A11:A44" si="0">EOMONTH(A10,1)-DAY(EOMONTH(A10,1))+1</f>
        <v>61</v>
      </c>
      <c r="B11" s="37"/>
      <c r="C11" s="7">
        <f>SUMIFS(Dados!$I$1:$I$1993,Dados!$K$1:$K$1993,Tp.Despesas!C$7,Dados!$J$1:$J$1993,"&gt;="&amp;$A11,Dados!$J$1:$J$1993,"&lt;="&amp;EOMONTH($A11,0))</f>
        <v>0</v>
      </c>
      <c r="D11" s="7">
        <f>SUMIFS(Dados!$I$1:$I$1993,Dados!$K$1:$K$1993,Tp.Despesas!D$7,Dados!$J$1:$J$1993,"&gt;="&amp;$A11,Dados!$J$1:$J$1993,"&lt;="&amp;EOMONTH($A11,0))</f>
        <v>0</v>
      </c>
      <c r="E11" s="7">
        <f>SUMIFS(Dados!$I$1:$I$1993,Dados!$K$1:$K$1993,Tp.Despesas!E$7,Dados!$J$1:$J$1993,"&gt;="&amp;$A11,Dados!$J$1:$J$1993,"&lt;="&amp;EOMONTH($A11,0))</f>
        <v>0</v>
      </c>
      <c r="F11" s="7">
        <f>SUMIFS(Dados!$I$1:$I$1993,Dados!$K$1:$K$1993,Tp.Despesas!F$7,Dados!$J$1:$J$1993,"&gt;="&amp;$A11,Dados!$J$1:$J$1993,"&lt;="&amp;EOMONTH($A11,0))</f>
        <v>0</v>
      </c>
      <c r="G11" s="7">
        <f>SUMIFS(Dados!$I$1:$I$1993,Dados!$K$1:$K$1993,Tp.Despesas!G$7,Dados!$J$1:$J$1993,"&gt;="&amp;$A11,Dados!$J$1:$J$1993,"&lt;="&amp;EOMONTH($A11,0))</f>
        <v>0</v>
      </c>
      <c r="H11" s="7">
        <f>SUMIFS(Dados!$I$1:$I$1993,Dados!$K$1:$K$1993,Tp.Despesas!H$7,Dados!$J$1:$J$1993,"&gt;="&amp;$A11,Dados!$J$1:$J$1993,"&lt;="&amp;EOMONTH($A11,0))</f>
        <v>0</v>
      </c>
      <c r="I11" s="7">
        <f>SUMIFS(Dados!$I$1:$I$1993,Dados!$K$1:$K$1993,Tp.Despesas!I$7,Dados!$J$1:$J$1993,"&gt;="&amp;$A11,Dados!$J$1:$J$1993,"&lt;="&amp;EOMONTH($A11,0))</f>
        <v>0</v>
      </c>
      <c r="J11" s="19">
        <f>SUM(C11:I11)</f>
        <v>0</v>
      </c>
    </row>
    <row r="12" spans="1:18" ht="27.95" customHeight="1" x14ac:dyDescent="0.25">
      <c r="A12" s="41">
        <f t="shared" si="0"/>
        <v>92</v>
      </c>
      <c r="B12" s="37"/>
      <c r="C12" s="7">
        <f>SUMIFS(Dados!$I$1:$I$1993,Dados!$K$1:$K$1993,Tp.Despesas!C$7,Dados!$J$1:$J$1993,"&gt;="&amp;$A12,Dados!$J$1:$J$1993,"&lt;="&amp;EOMONTH($A12,0))</f>
        <v>0</v>
      </c>
      <c r="D12" s="7">
        <f>SUMIFS(Dados!$I$1:$I$1993,Dados!$K$1:$K$1993,Tp.Despesas!D$7,Dados!$J$1:$J$1993,"&gt;="&amp;$A12,Dados!$J$1:$J$1993,"&lt;="&amp;EOMONTH($A12,0))</f>
        <v>0</v>
      </c>
      <c r="E12" s="7">
        <f>SUMIFS(Dados!$I$1:$I$1993,Dados!$K$1:$K$1993,Tp.Despesas!E$7,Dados!$J$1:$J$1993,"&gt;="&amp;$A12,Dados!$J$1:$J$1993,"&lt;="&amp;EOMONTH($A12,0))</f>
        <v>0</v>
      </c>
      <c r="F12" s="7">
        <f>SUMIFS(Dados!$I$1:$I$1993,Dados!$K$1:$K$1993,Tp.Despesas!F$7,Dados!$J$1:$J$1993,"&gt;="&amp;$A12,Dados!$J$1:$J$1993,"&lt;="&amp;EOMONTH($A12,0))</f>
        <v>0</v>
      </c>
      <c r="G12" s="7">
        <f>SUMIFS(Dados!$I$1:$I$1993,Dados!$K$1:$K$1993,Tp.Despesas!G$7,Dados!$J$1:$J$1993,"&gt;="&amp;$A12,Dados!$J$1:$J$1993,"&lt;="&amp;EOMONTH($A12,0))</f>
        <v>0</v>
      </c>
      <c r="H12" s="7">
        <f>SUMIFS(Dados!$I$1:$I$1993,Dados!$K$1:$K$1993,Tp.Despesas!H$7,Dados!$J$1:$J$1993,"&gt;="&amp;$A12,Dados!$J$1:$J$1993,"&lt;="&amp;EOMONTH($A12,0))</f>
        <v>0</v>
      </c>
      <c r="I12" s="7">
        <f>SUMIFS(Dados!$I$1:$I$1993,Dados!$K$1:$K$1993,Tp.Despesas!I$7,Dados!$J$1:$J$1993,"&gt;="&amp;$A12,Dados!$J$1:$J$1993,"&lt;="&amp;EOMONTH($A12,0))</f>
        <v>0</v>
      </c>
      <c r="J12" s="19">
        <f t="shared" ref="J12:J44" si="1">SUM(C12:I12)</f>
        <v>0</v>
      </c>
    </row>
    <row r="13" spans="1:18" ht="27.95" customHeight="1" x14ac:dyDescent="0.25">
      <c r="A13" s="41">
        <f t="shared" si="0"/>
        <v>122</v>
      </c>
      <c r="B13" s="37"/>
      <c r="C13" s="7">
        <f>SUMIFS(Dados!$I$1:$I$1993,Dados!$K$1:$K$1993,Tp.Despesas!C$7,Dados!$J$1:$J$1993,"&gt;="&amp;$A13,Dados!$J$1:$J$1993,"&lt;="&amp;EOMONTH($A13,0))</f>
        <v>0</v>
      </c>
      <c r="D13" s="7">
        <f>SUMIFS(Dados!$I$1:$I$1993,Dados!$K$1:$K$1993,Tp.Despesas!D$7,Dados!$J$1:$J$1993,"&gt;="&amp;$A13,Dados!$J$1:$J$1993,"&lt;="&amp;EOMONTH($A13,0))</f>
        <v>0</v>
      </c>
      <c r="E13" s="7">
        <f>SUMIFS(Dados!$I$1:$I$1993,Dados!$K$1:$K$1993,Tp.Despesas!E$7,Dados!$J$1:$J$1993,"&gt;="&amp;$A13,Dados!$J$1:$J$1993,"&lt;="&amp;EOMONTH($A13,0))</f>
        <v>0</v>
      </c>
      <c r="F13" s="7">
        <f>SUMIFS(Dados!$I$1:$I$1993,Dados!$K$1:$K$1993,Tp.Despesas!F$7,Dados!$J$1:$J$1993,"&gt;="&amp;$A13,Dados!$J$1:$J$1993,"&lt;="&amp;EOMONTH($A13,0))</f>
        <v>0</v>
      </c>
      <c r="G13" s="7">
        <f>SUMIFS(Dados!$I$1:$I$1993,Dados!$K$1:$K$1993,Tp.Despesas!G$7,Dados!$J$1:$J$1993,"&gt;="&amp;$A13,Dados!$J$1:$J$1993,"&lt;="&amp;EOMONTH($A13,0))</f>
        <v>0</v>
      </c>
      <c r="H13" s="7">
        <f>SUMIFS(Dados!$I$1:$I$1993,Dados!$K$1:$K$1993,Tp.Despesas!H$7,Dados!$J$1:$J$1993,"&gt;="&amp;$A13,Dados!$J$1:$J$1993,"&lt;="&amp;EOMONTH($A13,0))</f>
        <v>0</v>
      </c>
      <c r="I13" s="7">
        <f>SUMIFS(Dados!$I$1:$I$1993,Dados!$K$1:$K$1993,Tp.Despesas!I$7,Dados!$J$1:$J$1993,"&gt;="&amp;$A13,Dados!$J$1:$J$1993,"&lt;="&amp;EOMONTH($A13,0))</f>
        <v>0</v>
      </c>
      <c r="J13" s="19">
        <f t="shared" si="1"/>
        <v>0</v>
      </c>
    </row>
    <row r="14" spans="1:18" ht="27.95" customHeight="1" x14ac:dyDescent="0.25">
      <c r="A14" s="41">
        <f t="shared" si="0"/>
        <v>153</v>
      </c>
      <c r="B14" s="37"/>
      <c r="C14" s="7">
        <f>SUMIFS(Dados!$I$1:$I$1993,Dados!$K$1:$K$1993,Tp.Despesas!C$7,Dados!$J$1:$J$1993,"&gt;="&amp;$A14,Dados!$J$1:$J$1993,"&lt;="&amp;EOMONTH($A14,0))</f>
        <v>0</v>
      </c>
      <c r="D14" s="7">
        <f>SUMIFS(Dados!$I$1:$I$1993,Dados!$K$1:$K$1993,Tp.Despesas!D$7,Dados!$J$1:$J$1993,"&gt;="&amp;$A14,Dados!$J$1:$J$1993,"&lt;="&amp;EOMONTH($A14,0))</f>
        <v>0</v>
      </c>
      <c r="E14" s="7">
        <f>SUMIFS(Dados!$I$1:$I$1993,Dados!$K$1:$K$1993,Tp.Despesas!E$7,Dados!$J$1:$J$1993,"&gt;="&amp;$A14,Dados!$J$1:$J$1993,"&lt;="&amp;EOMONTH($A14,0))</f>
        <v>0</v>
      </c>
      <c r="F14" s="7">
        <f>SUMIFS(Dados!$I$1:$I$1993,Dados!$K$1:$K$1993,Tp.Despesas!F$7,Dados!$J$1:$J$1993,"&gt;="&amp;$A14,Dados!$J$1:$J$1993,"&lt;="&amp;EOMONTH($A14,0))</f>
        <v>0</v>
      </c>
      <c r="G14" s="7">
        <f>SUMIFS(Dados!$I$1:$I$1993,Dados!$K$1:$K$1993,Tp.Despesas!G$7,Dados!$J$1:$J$1993,"&gt;="&amp;$A14,Dados!$J$1:$J$1993,"&lt;="&amp;EOMONTH($A14,0))</f>
        <v>0</v>
      </c>
      <c r="H14" s="7">
        <f>SUMIFS(Dados!$I$1:$I$1993,Dados!$K$1:$K$1993,Tp.Despesas!H$7,Dados!$J$1:$J$1993,"&gt;="&amp;$A14,Dados!$J$1:$J$1993,"&lt;="&amp;EOMONTH($A14,0))</f>
        <v>0</v>
      </c>
      <c r="I14" s="7">
        <f>SUMIFS(Dados!$I$1:$I$1993,Dados!$K$1:$K$1993,Tp.Despesas!I$7,Dados!$J$1:$J$1993,"&gt;="&amp;$A14,Dados!$J$1:$J$1993,"&lt;="&amp;EOMONTH($A14,0))</f>
        <v>0</v>
      </c>
      <c r="J14" s="19">
        <f t="shared" si="1"/>
        <v>0</v>
      </c>
    </row>
    <row r="15" spans="1:18" ht="27.95" customHeight="1" x14ac:dyDescent="0.25">
      <c r="A15" s="41">
        <f t="shared" si="0"/>
        <v>183</v>
      </c>
      <c r="B15" s="37"/>
      <c r="C15" s="7">
        <f>SUMIFS(Dados!$I$1:$I$1993,Dados!$K$1:$K$1993,Tp.Despesas!C$7,Dados!$J$1:$J$1993,"&gt;="&amp;$A15,Dados!$J$1:$J$1993,"&lt;="&amp;EOMONTH($A15,0))</f>
        <v>0</v>
      </c>
      <c r="D15" s="7">
        <f>SUMIFS(Dados!$I$1:$I$1993,Dados!$K$1:$K$1993,Tp.Despesas!D$7,Dados!$J$1:$J$1993,"&gt;="&amp;$A15,Dados!$J$1:$J$1993,"&lt;="&amp;EOMONTH($A15,0))</f>
        <v>0</v>
      </c>
      <c r="E15" s="7">
        <f>SUMIFS(Dados!$I$1:$I$1993,Dados!$K$1:$K$1993,Tp.Despesas!E$7,Dados!$J$1:$J$1993,"&gt;="&amp;$A15,Dados!$J$1:$J$1993,"&lt;="&amp;EOMONTH($A15,0))</f>
        <v>0</v>
      </c>
      <c r="F15" s="7">
        <f>SUMIFS(Dados!$I$1:$I$1993,Dados!$K$1:$K$1993,Tp.Despesas!F$7,Dados!$J$1:$J$1993,"&gt;="&amp;$A15,Dados!$J$1:$J$1993,"&lt;="&amp;EOMONTH($A15,0))</f>
        <v>0</v>
      </c>
      <c r="G15" s="7">
        <f>SUMIFS(Dados!$I$1:$I$1993,Dados!$K$1:$K$1993,Tp.Despesas!G$7,Dados!$J$1:$J$1993,"&gt;="&amp;$A15,Dados!$J$1:$J$1993,"&lt;="&amp;EOMONTH($A15,0))</f>
        <v>0</v>
      </c>
      <c r="H15" s="7">
        <f>SUMIFS(Dados!$I$1:$I$1993,Dados!$K$1:$K$1993,Tp.Despesas!H$7,Dados!$J$1:$J$1993,"&gt;="&amp;$A15,Dados!$J$1:$J$1993,"&lt;="&amp;EOMONTH($A15,0))</f>
        <v>0</v>
      </c>
      <c r="I15" s="7">
        <f>SUMIFS(Dados!$I$1:$I$1993,Dados!$K$1:$K$1993,Tp.Despesas!I$7,Dados!$J$1:$J$1993,"&gt;="&amp;$A15,Dados!$J$1:$J$1993,"&lt;="&amp;EOMONTH($A15,0))</f>
        <v>0</v>
      </c>
      <c r="J15" s="19">
        <f t="shared" si="1"/>
        <v>0</v>
      </c>
    </row>
    <row r="16" spans="1:18" ht="27.95" customHeight="1" x14ac:dyDescent="0.25">
      <c r="A16" s="41">
        <f t="shared" si="0"/>
        <v>214</v>
      </c>
      <c r="B16" s="37"/>
      <c r="C16" s="7">
        <f>SUMIFS(Dados!$I$1:$I$1993,Dados!$K$1:$K$1993,Tp.Despesas!C$7,Dados!$J$1:$J$1993,"&gt;="&amp;$A16,Dados!$J$1:$J$1993,"&lt;="&amp;EOMONTH($A16,0))</f>
        <v>0</v>
      </c>
      <c r="D16" s="7">
        <f>SUMIFS(Dados!$I$1:$I$1993,Dados!$K$1:$K$1993,Tp.Despesas!D$7,Dados!$J$1:$J$1993,"&gt;="&amp;$A16,Dados!$J$1:$J$1993,"&lt;="&amp;EOMONTH($A16,0))</f>
        <v>0</v>
      </c>
      <c r="E16" s="7">
        <f>SUMIFS(Dados!$I$1:$I$1993,Dados!$K$1:$K$1993,Tp.Despesas!E$7,Dados!$J$1:$J$1993,"&gt;="&amp;$A16,Dados!$J$1:$J$1993,"&lt;="&amp;EOMONTH($A16,0))</f>
        <v>0</v>
      </c>
      <c r="F16" s="7">
        <f>SUMIFS(Dados!$I$1:$I$1993,Dados!$K$1:$K$1993,Tp.Despesas!F$7,Dados!$J$1:$J$1993,"&gt;="&amp;$A16,Dados!$J$1:$J$1993,"&lt;="&amp;EOMONTH($A16,0))</f>
        <v>0</v>
      </c>
      <c r="G16" s="7">
        <f>SUMIFS(Dados!$I$1:$I$1993,Dados!$K$1:$K$1993,Tp.Despesas!G$7,Dados!$J$1:$J$1993,"&gt;="&amp;$A16,Dados!$J$1:$J$1993,"&lt;="&amp;EOMONTH($A16,0))</f>
        <v>0</v>
      </c>
      <c r="H16" s="7">
        <f>SUMIFS(Dados!$I$1:$I$1993,Dados!$K$1:$K$1993,Tp.Despesas!H$7,Dados!$J$1:$J$1993,"&gt;="&amp;$A16,Dados!$J$1:$J$1993,"&lt;="&amp;EOMONTH($A16,0))</f>
        <v>0</v>
      </c>
      <c r="I16" s="7">
        <f>SUMIFS(Dados!$I$1:$I$1993,Dados!$K$1:$K$1993,Tp.Despesas!I$7,Dados!$J$1:$J$1993,"&gt;="&amp;$A16,Dados!$J$1:$J$1993,"&lt;="&amp;EOMONTH($A16,0))</f>
        <v>0</v>
      </c>
      <c r="J16" s="19">
        <f t="shared" si="1"/>
        <v>0</v>
      </c>
    </row>
    <row r="17" spans="1:10" ht="27.95" customHeight="1" x14ac:dyDescent="0.25">
      <c r="A17" s="41">
        <f t="shared" si="0"/>
        <v>245</v>
      </c>
      <c r="B17" s="37"/>
      <c r="C17" s="7">
        <f>SUMIFS(Dados!$I$1:$I$1993,Dados!$K$1:$K$1993,Tp.Despesas!C$7,Dados!$J$1:$J$1993,"&gt;="&amp;$A17,Dados!$J$1:$J$1993,"&lt;="&amp;EOMONTH($A17,0))</f>
        <v>0</v>
      </c>
      <c r="D17" s="7">
        <f>SUMIFS(Dados!$I$1:$I$1993,Dados!$K$1:$K$1993,Tp.Despesas!D$7,Dados!$J$1:$J$1993,"&gt;="&amp;$A17,Dados!$J$1:$J$1993,"&lt;="&amp;EOMONTH($A17,0))</f>
        <v>0</v>
      </c>
      <c r="E17" s="7">
        <f>SUMIFS(Dados!$I$1:$I$1993,Dados!$K$1:$K$1993,Tp.Despesas!E$7,Dados!$J$1:$J$1993,"&gt;="&amp;$A17,Dados!$J$1:$J$1993,"&lt;="&amp;EOMONTH($A17,0))</f>
        <v>0</v>
      </c>
      <c r="F17" s="7">
        <f>SUMIFS(Dados!$I$1:$I$1993,Dados!$K$1:$K$1993,Tp.Despesas!F$7,Dados!$J$1:$J$1993,"&gt;="&amp;$A17,Dados!$J$1:$J$1993,"&lt;="&amp;EOMONTH($A17,0))</f>
        <v>0</v>
      </c>
      <c r="G17" s="7">
        <f>SUMIFS(Dados!$I$1:$I$1993,Dados!$K$1:$K$1993,Tp.Despesas!G$7,Dados!$J$1:$J$1993,"&gt;="&amp;$A17,Dados!$J$1:$J$1993,"&lt;="&amp;EOMONTH($A17,0))</f>
        <v>0</v>
      </c>
      <c r="H17" s="7">
        <f>SUMIFS(Dados!$I$1:$I$1993,Dados!$K$1:$K$1993,Tp.Despesas!H$7,Dados!$J$1:$J$1993,"&gt;="&amp;$A17,Dados!$J$1:$J$1993,"&lt;="&amp;EOMONTH($A17,0))</f>
        <v>0</v>
      </c>
      <c r="I17" s="7">
        <f>SUMIFS(Dados!$I$1:$I$1993,Dados!$K$1:$K$1993,Tp.Despesas!I$7,Dados!$J$1:$J$1993,"&gt;="&amp;$A17,Dados!$J$1:$J$1993,"&lt;="&amp;EOMONTH($A17,0))</f>
        <v>0</v>
      </c>
      <c r="J17" s="19">
        <f t="shared" si="1"/>
        <v>0</v>
      </c>
    </row>
    <row r="18" spans="1:10" ht="27.95" customHeight="1" x14ac:dyDescent="0.25">
      <c r="A18" s="41">
        <f t="shared" si="0"/>
        <v>275</v>
      </c>
      <c r="B18" s="37"/>
      <c r="C18" s="7">
        <f>SUMIFS(Dados!$I$1:$I$1993,Dados!$K$1:$K$1993,Tp.Despesas!C$7,Dados!$J$1:$J$1993,"&gt;="&amp;$A18,Dados!$J$1:$J$1993,"&lt;="&amp;EOMONTH($A18,0))</f>
        <v>0</v>
      </c>
      <c r="D18" s="7">
        <f>SUMIFS(Dados!$I$1:$I$1993,Dados!$K$1:$K$1993,Tp.Despesas!D$7,Dados!$J$1:$J$1993,"&gt;="&amp;$A18,Dados!$J$1:$J$1993,"&lt;="&amp;EOMONTH($A18,0))</f>
        <v>0</v>
      </c>
      <c r="E18" s="7">
        <f>SUMIFS(Dados!$I$1:$I$1993,Dados!$K$1:$K$1993,Tp.Despesas!E$7,Dados!$J$1:$J$1993,"&gt;="&amp;$A18,Dados!$J$1:$J$1993,"&lt;="&amp;EOMONTH($A18,0))</f>
        <v>0</v>
      </c>
      <c r="F18" s="7">
        <f>SUMIFS(Dados!$I$1:$I$1993,Dados!$K$1:$K$1993,Tp.Despesas!F$7,Dados!$J$1:$J$1993,"&gt;="&amp;$A18,Dados!$J$1:$J$1993,"&lt;="&amp;EOMONTH($A18,0))</f>
        <v>0</v>
      </c>
      <c r="G18" s="7">
        <f>SUMIFS(Dados!$I$1:$I$1993,Dados!$K$1:$K$1993,Tp.Despesas!G$7,Dados!$J$1:$J$1993,"&gt;="&amp;$A18,Dados!$J$1:$J$1993,"&lt;="&amp;EOMONTH($A18,0))</f>
        <v>0</v>
      </c>
      <c r="H18" s="7">
        <f>SUMIFS(Dados!$I$1:$I$1993,Dados!$K$1:$K$1993,Tp.Despesas!H$7,Dados!$J$1:$J$1993,"&gt;="&amp;$A18,Dados!$J$1:$J$1993,"&lt;="&amp;EOMONTH($A18,0))</f>
        <v>0</v>
      </c>
      <c r="I18" s="7">
        <f>SUMIFS(Dados!$I$1:$I$1993,Dados!$K$1:$K$1993,Tp.Despesas!I$7,Dados!$J$1:$J$1993,"&gt;="&amp;$A18,Dados!$J$1:$J$1993,"&lt;="&amp;EOMONTH($A18,0))</f>
        <v>0</v>
      </c>
      <c r="J18" s="19">
        <f t="shared" si="1"/>
        <v>0</v>
      </c>
    </row>
    <row r="19" spans="1:10" ht="27.95" customHeight="1" x14ac:dyDescent="0.25">
      <c r="A19" s="41">
        <f t="shared" si="0"/>
        <v>306</v>
      </c>
      <c r="B19" s="37"/>
      <c r="C19" s="7">
        <f>SUMIFS(Dados!$I$1:$I$1993,Dados!$K$1:$K$1993,Tp.Despesas!C$7,Dados!$J$1:$J$1993,"&gt;="&amp;$A19,Dados!$J$1:$J$1993,"&lt;="&amp;EOMONTH($A19,0))</f>
        <v>0</v>
      </c>
      <c r="D19" s="7">
        <f>SUMIFS(Dados!$I$1:$I$1993,Dados!$K$1:$K$1993,Tp.Despesas!D$7,Dados!$J$1:$J$1993,"&gt;="&amp;$A19,Dados!$J$1:$J$1993,"&lt;="&amp;EOMONTH($A19,0))</f>
        <v>0</v>
      </c>
      <c r="E19" s="7">
        <f>SUMIFS(Dados!$I$1:$I$1993,Dados!$K$1:$K$1993,Tp.Despesas!E$7,Dados!$J$1:$J$1993,"&gt;="&amp;$A19,Dados!$J$1:$J$1993,"&lt;="&amp;EOMONTH($A19,0))</f>
        <v>0</v>
      </c>
      <c r="F19" s="7">
        <f>SUMIFS(Dados!$I$1:$I$1993,Dados!$K$1:$K$1993,Tp.Despesas!F$7,Dados!$J$1:$J$1993,"&gt;="&amp;$A19,Dados!$J$1:$J$1993,"&lt;="&amp;EOMONTH($A19,0))</f>
        <v>0</v>
      </c>
      <c r="G19" s="7">
        <f>SUMIFS(Dados!$I$1:$I$1993,Dados!$K$1:$K$1993,Tp.Despesas!G$7,Dados!$J$1:$J$1993,"&gt;="&amp;$A19,Dados!$J$1:$J$1993,"&lt;="&amp;EOMONTH($A19,0))</f>
        <v>0</v>
      </c>
      <c r="H19" s="7">
        <f>SUMIFS(Dados!$I$1:$I$1993,Dados!$K$1:$K$1993,Tp.Despesas!H$7,Dados!$J$1:$J$1993,"&gt;="&amp;$A19,Dados!$J$1:$J$1993,"&lt;="&amp;EOMONTH($A19,0))</f>
        <v>0</v>
      </c>
      <c r="I19" s="7">
        <f>SUMIFS(Dados!$I$1:$I$1993,Dados!$K$1:$K$1993,Tp.Despesas!I$7,Dados!$J$1:$J$1993,"&gt;="&amp;$A19,Dados!$J$1:$J$1993,"&lt;="&amp;EOMONTH($A19,0))</f>
        <v>0</v>
      </c>
      <c r="J19" s="19">
        <f t="shared" si="1"/>
        <v>0</v>
      </c>
    </row>
    <row r="20" spans="1:10" ht="27.95" customHeight="1" x14ac:dyDescent="0.25">
      <c r="A20" s="41">
        <f t="shared" si="0"/>
        <v>336</v>
      </c>
      <c r="B20" s="37"/>
      <c r="C20" s="7">
        <f>SUMIFS(Dados!$I$1:$I$1993,Dados!$K$1:$K$1993,Tp.Despesas!C$7,Dados!$J$1:$J$1993,"&gt;="&amp;$A20,Dados!$J$1:$J$1993,"&lt;="&amp;EOMONTH($A20,0))</f>
        <v>0</v>
      </c>
      <c r="D20" s="7">
        <f>SUMIFS(Dados!$I$1:$I$1993,Dados!$K$1:$K$1993,Tp.Despesas!D$7,Dados!$J$1:$J$1993,"&gt;="&amp;$A20,Dados!$J$1:$J$1993,"&lt;="&amp;EOMONTH($A20,0))</f>
        <v>0</v>
      </c>
      <c r="E20" s="7">
        <f>SUMIFS(Dados!$I$1:$I$1993,Dados!$K$1:$K$1993,Tp.Despesas!E$7,Dados!$J$1:$J$1993,"&gt;="&amp;$A20,Dados!$J$1:$J$1993,"&lt;="&amp;EOMONTH($A20,0))</f>
        <v>0</v>
      </c>
      <c r="F20" s="7">
        <f>SUMIFS(Dados!$I$1:$I$1993,Dados!$K$1:$K$1993,Tp.Despesas!F$7,Dados!$J$1:$J$1993,"&gt;="&amp;$A20,Dados!$J$1:$J$1993,"&lt;="&amp;EOMONTH($A20,0))</f>
        <v>0</v>
      </c>
      <c r="G20" s="7">
        <f>SUMIFS(Dados!$I$1:$I$1993,Dados!$K$1:$K$1993,Tp.Despesas!G$7,Dados!$J$1:$J$1993,"&gt;="&amp;$A20,Dados!$J$1:$J$1993,"&lt;="&amp;EOMONTH($A20,0))</f>
        <v>0</v>
      </c>
      <c r="H20" s="7">
        <f>SUMIFS(Dados!$I$1:$I$1993,Dados!$K$1:$K$1993,Tp.Despesas!H$7,Dados!$J$1:$J$1993,"&gt;="&amp;$A20,Dados!$J$1:$J$1993,"&lt;="&amp;EOMONTH($A20,0))</f>
        <v>0</v>
      </c>
      <c r="I20" s="7">
        <f>SUMIFS(Dados!$I$1:$I$1993,Dados!$K$1:$K$1993,Tp.Despesas!I$7,Dados!$J$1:$J$1993,"&gt;="&amp;$A20,Dados!$J$1:$J$1993,"&lt;="&amp;EOMONTH($A20,0))</f>
        <v>0</v>
      </c>
      <c r="J20" s="19">
        <f t="shared" si="1"/>
        <v>0</v>
      </c>
    </row>
    <row r="21" spans="1:10" ht="27.95" customHeight="1" x14ac:dyDescent="0.25">
      <c r="A21" s="41">
        <f t="shared" si="0"/>
        <v>367</v>
      </c>
      <c r="B21" s="31"/>
      <c r="C21" s="7">
        <f>SUMIFS(Dados!$I$1:$I$1993,Dados!$K$1:$K$1993,Tp.Despesas!C$7,Dados!$J$1:$J$1993,"&gt;="&amp;$A21,Dados!$J$1:$J$1993,"&lt;="&amp;EOMONTH($A21,0))</f>
        <v>0</v>
      </c>
      <c r="D21" s="7">
        <f>SUMIFS(Dados!$I$1:$I$1993,Dados!$K$1:$K$1993,Tp.Despesas!D$7,Dados!$J$1:$J$1993,"&gt;="&amp;$A21,Dados!$J$1:$J$1993,"&lt;="&amp;EOMONTH($A21,0))</f>
        <v>0</v>
      </c>
      <c r="E21" s="7">
        <f>SUMIFS(Dados!$I$1:$I$1993,Dados!$K$1:$K$1993,Tp.Despesas!E$7,Dados!$J$1:$J$1993,"&gt;="&amp;$A21,Dados!$J$1:$J$1993,"&lt;="&amp;EOMONTH($A21,0))</f>
        <v>0</v>
      </c>
      <c r="F21" s="7">
        <f>SUMIFS(Dados!$I$1:$I$1993,Dados!$K$1:$K$1993,Tp.Despesas!F$7,Dados!$J$1:$J$1993,"&gt;="&amp;$A21,Dados!$J$1:$J$1993,"&lt;="&amp;EOMONTH($A21,0))</f>
        <v>0</v>
      </c>
      <c r="G21" s="7">
        <f>SUMIFS(Dados!$I$1:$I$1993,Dados!$K$1:$K$1993,Tp.Despesas!G$7,Dados!$J$1:$J$1993,"&gt;="&amp;$A21,Dados!$J$1:$J$1993,"&lt;="&amp;EOMONTH($A21,0))</f>
        <v>0</v>
      </c>
      <c r="H21" s="7">
        <f>SUMIFS(Dados!$I$1:$I$1993,Dados!$K$1:$K$1993,Tp.Despesas!H$7,Dados!$J$1:$J$1993,"&gt;="&amp;$A21,Dados!$J$1:$J$1993,"&lt;="&amp;EOMONTH($A21,0))</f>
        <v>0</v>
      </c>
      <c r="I21" s="7">
        <f>SUMIFS(Dados!$I$1:$I$1993,Dados!$K$1:$K$1993,Tp.Despesas!I$7,Dados!$J$1:$J$1993,"&gt;="&amp;$A21,Dados!$J$1:$J$1993,"&lt;="&amp;EOMONTH($A21,0))</f>
        <v>0</v>
      </c>
      <c r="J21" s="18">
        <f t="shared" si="1"/>
        <v>0</v>
      </c>
    </row>
    <row r="22" spans="1:10" ht="27.95" customHeight="1" x14ac:dyDescent="0.25">
      <c r="A22" s="41">
        <f t="shared" si="0"/>
        <v>398</v>
      </c>
      <c r="B22" s="31"/>
      <c r="C22" s="7">
        <f>SUMIFS(Dados!$I$1:$I$1993,Dados!$K$1:$K$1993,Tp.Despesas!C$7,Dados!$J$1:$J$1993,"&gt;="&amp;$A22,Dados!$J$1:$J$1993,"&lt;="&amp;EOMONTH($A22,0))</f>
        <v>0</v>
      </c>
      <c r="D22" s="7">
        <f>SUMIFS(Dados!$I$1:$I$1993,Dados!$K$1:$K$1993,Tp.Despesas!D$7,Dados!$J$1:$J$1993,"&gt;="&amp;$A22,Dados!$J$1:$J$1993,"&lt;="&amp;EOMONTH($A22,0))</f>
        <v>0</v>
      </c>
      <c r="E22" s="7">
        <f>SUMIFS(Dados!$I$1:$I$1993,Dados!$K$1:$K$1993,Tp.Despesas!E$7,Dados!$J$1:$J$1993,"&gt;="&amp;$A22,Dados!$J$1:$J$1993,"&lt;="&amp;EOMONTH($A22,0))</f>
        <v>0</v>
      </c>
      <c r="F22" s="7">
        <f>SUMIFS(Dados!$I$1:$I$1993,Dados!$K$1:$K$1993,Tp.Despesas!F$7,Dados!$J$1:$J$1993,"&gt;="&amp;$A22,Dados!$J$1:$J$1993,"&lt;="&amp;EOMONTH($A22,0))</f>
        <v>0</v>
      </c>
      <c r="G22" s="7">
        <f>SUMIFS(Dados!$I$1:$I$1993,Dados!$K$1:$K$1993,Tp.Despesas!G$7,Dados!$J$1:$J$1993,"&gt;="&amp;$A22,Dados!$J$1:$J$1993,"&lt;="&amp;EOMONTH($A22,0))</f>
        <v>0</v>
      </c>
      <c r="H22" s="7">
        <f>SUMIFS(Dados!$I$1:$I$1993,Dados!$K$1:$K$1993,Tp.Despesas!H$7,Dados!$J$1:$J$1993,"&gt;="&amp;$A22,Dados!$J$1:$J$1993,"&lt;="&amp;EOMONTH($A22,0))</f>
        <v>0</v>
      </c>
      <c r="I22" s="7">
        <f>SUMIFS(Dados!$I$1:$I$1993,Dados!$K$1:$K$1993,Tp.Despesas!I$7,Dados!$J$1:$J$1993,"&gt;="&amp;$A22,Dados!$J$1:$J$1993,"&lt;="&amp;EOMONTH($A22,0))</f>
        <v>0</v>
      </c>
      <c r="J22" s="19">
        <f t="shared" si="1"/>
        <v>0</v>
      </c>
    </row>
    <row r="23" spans="1:10" ht="27.95" customHeight="1" x14ac:dyDescent="0.25">
      <c r="A23" s="41">
        <f t="shared" si="0"/>
        <v>426</v>
      </c>
      <c r="B23" s="31"/>
      <c r="C23" s="7">
        <f>SUMIFS(Dados!$I$1:$I$1993,Dados!$K$1:$K$1993,Tp.Despesas!C$7,Dados!$J$1:$J$1993,"&gt;="&amp;$A23,Dados!$J$1:$J$1993,"&lt;="&amp;EOMONTH($A23,0))</f>
        <v>0</v>
      </c>
      <c r="D23" s="7">
        <f>SUMIFS(Dados!$I$1:$I$1993,Dados!$K$1:$K$1993,Tp.Despesas!D$7,Dados!$J$1:$J$1993,"&gt;="&amp;$A23,Dados!$J$1:$J$1993,"&lt;="&amp;EOMONTH($A23,0))</f>
        <v>0</v>
      </c>
      <c r="E23" s="7">
        <f>SUMIFS(Dados!$I$1:$I$1993,Dados!$K$1:$K$1993,Tp.Despesas!E$7,Dados!$J$1:$J$1993,"&gt;="&amp;$A23,Dados!$J$1:$J$1993,"&lt;="&amp;EOMONTH($A23,0))</f>
        <v>0</v>
      </c>
      <c r="F23" s="7">
        <f>SUMIFS(Dados!$I$1:$I$1993,Dados!$K$1:$K$1993,Tp.Despesas!F$7,Dados!$J$1:$J$1993,"&gt;="&amp;$A23,Dados!$J$1:$J$1993,"&lt;="&amp;EOMONTH($A23,0))</f>
        <v>0</v>
      </c>
      <c r="G23" s="7">
        <f>SUMIFS(Dados!$I$1:$I$1993,Dados!$K$1:$K$1993,Tp.Despesas!G$7,Dados!$J$1:$J$1993,"&gt;="&amp;$A23,Dados!$J$1:$J$1993,"&lt;="&amp;EOMONTH($A23,0))</f>
        <v>0</v>
      </c>
      <c r="H23" s="7">
        <f>SUMIFS(Dados!$I$1:$I$1993,Dados!$K$1:$K$1993,Tp.Despesas!H$7,Dados!$J$1:$J$1993,"&gt;="&amp;$A23,Dados!$J$1:$J$1993,"&lt;="&amp;EOMONTH($A23,0))</f>
        <v>0</v>
      </c>
      <c r="I23" s="7">
        <f>SUMIFS(Dados!$I$1:$I$1993,Dados!$K$1:$K$1993,Tp.Despesas!I$7,Dados!$J$1:$J$1993,"&gt;="&amp;$A23,Dados!$J$1:$J$1993,"&lt;="&amp;EOMONTH($A23,0))</f>
        <v>0</v>
      </c>
      <c r="J23" s="19">
        <f t="shared" si="1"/>
        <v>0</v>
      </c>
    </row>
    <row r="24" spans="1:10" ht="27.95" customHeight="1" x14ac:dyDescent="0.25">
      <c r="A24" s="41">
        <f t="shared" si="0"/>
        <v>457</v>
      </c>
      <c r="B24" s="31"/>
      <c r="C24" s="7">
        <f>SUMIFS(Dados!$I$1:$I$1993,Dados!$K$1:$K$1993,Tp.Despesas!C$7,Dados!$J$1:$J$1993,"&gt;="&amp;$A24,Dados!$J$1:$J$1993,"&lt;="&amp;EOMONTH($A24,0))</f>
        <v>0</v>
      </c>
      <c r="D24" s="7">
        <f>SUMIFS(Dados!$I$1:$I$1993,Dados!$K$1:$K$1993,Tp.Despesas!D$7,Dados!$J$1:$J$1993,"&gt;="&amp;$A24,Dados!$J$1:$J$1993,"&lt;="&amp;EOMONTH($A24,0))</f>
        <v>0</v>
      </c>
      <c r="E24" s="7">
        <f>SUMIFS(Dados!$I$1:$I$1993,Dados!$K$1:$K$1993,Tp.Despesas!E$7,Dados!$J$1:$J$1993,"&gt;="&amp;$A24,Dados!$J$1:$J$1993,"&lt;="&amp;EOMONTH($A24,0))</f>
        <v>0</v>
      </c>
      <c r="F24" s="7">
        <f>SUMIFS(Dados!$I$1:$I$1993,Dados!$K$1:$K$1993,Tp.Despesas!F$7,Dados!$J$1:$J$1993,"&gt;="&amp;$A24,Dados!$J$1:$J$1993,"&lt;="&amp;EOMONTH($A24,0))</f>
        <v>0</v>
      </c>
      <c r="G24" s="7">
        <f>SUMIFS(Dados!$I$1:$I$1993,Dados!$K$1:$K$1993,Tp.Despesas!G$7,Dados!$J$1:$J$1993,"&gt;="&amp;$A24,Dados!$J$1:$J$1993,"&lt;="&amp;EOMONTH($A24,0))</f>
        <v>0</v>
      </c>
      <c r="H24" s="7">
        <f>SUMIFS(Dados!$I$1:$I$1993,Dados!$K$1:$K$1993,Tp.Despesas!H$7,Dados!$J$1:$J$1993,"&gt;="&amp;$A24,Dados!$J$1:$J$1993,"&lt;="&amp;EOMONTH($A24,0))</f>
        <v>0</v>
      </c>
      <c r="I24" s="7">
        <f>SUMIFS(Dados!$I$1:$I$1993,Dados!$K$1:$K$1993,Tp.Despesas!I$7,Dados!$J$1:$J$1993,"&gt;="&amp;$A24,Dados!$J$1:$J$1993,"&lt;="&amp;EOMONTH($A24,0))</f>
        <v>0</v>
      </c>
      <c r="J24" s="19">
        <f t="shared" si="1"/>
        <v>0</v>
      </c>
    </row>
    <row r="25" spans="1:10" ht="27.95" customHeight="1" x14ac:dyDescent="0.25">
      <c r="A25" s="41">
        <f t="shared" si="0"/>
        <v>487</v>
      </c>
      <c r="B25" s="31"/>
      <c r="C25" s="7">
        <f>SUMIFS(Dados!$I$1:$I$1993,Dados!$K$1:$K$1993,Tp.Despesas!C$7,Dados!$J$1:$J$1993,"&gt;="&amp;$A25,Dados!$J$1:$J$1993,"&lt;="&amp;EOMONTH($A25,0))</f>
        <v>0</v>
      </c>
      <c r="D25" s="7">
        <f>SUMIFS(Dados!$I$1:$I$1993,Dados!$K$1:$K$1993,Tp.Despesas!D$7,Dados!$J$1:$J$1993,"&gt;="&amp;$A25,Dados!$J$1:$J$1993,"&lt;="&amp;EOMONTH($A25,0))</f>
        <v>0</v>
      </c>
      <c r="E25" s="7">
        <f>SUMIFS(Dados!$I$1:$I$1993,Dados!$K$1:$K$1993,Tp.Despesas!E$7,Dados!$J$1:$J$1993,"&gt;="&amp;$A25,Dados!$J$1:$J$1993,"&lt;="&amp;EOMONTH($A25,0))</f>
        <v>0</v>
      </c>
      <c r="F25" s="7">
        <f>SUMIFS(Dados!$I$1:$I$1993,Dados!$K$1:$K$1993,Tp.Despesas!F$7,Dados!$J$1:$J$1993,"&gt;="&amp;$A25,Dados!$J$1:$J$1993,"&lt;="&amp;EOMONTH($A25,0))</f>
        <v>0</v>
      </c>
      <c r="G25" s="7">
        <f>SUMIFS(Dados!$I$1:$I$1993,Dados!$K$1:$K$1993,Tp.Despesas!G$7,Dados!$J$1:$J$1993,"&gt;="&amp;$A25,Dados!$J$1:$J$1993,"&lt;="&amp;EOMONTH($A25,0))</f>
        <v>0</v>
      </c>
      <c r="H25" s="7">
        <f>SUMIFS(Dados!$I$1:$I$1993,Dados!$K$1:$K$1993,Tp.Despesas!H$7,Dados!$J$1:$J$1993,"&gt;="&amp;$A25,Dados!$J$1:$J$1993,"&lt;="&amp;EOMONTH($A25,0))</f>
        <v>0</v>
      </c>
      <c r="I25" s="7">
        <f>SUMIFS(Dados!$I$1:$I$1993,Dados!$K$1:$K$1993,Tp.Despesas!I$7,Dados!$J$1:$J$1993,"&gt;="&amp;$A25,Dados!$J$1:$J$1993,"&lt;="&amp;EOMONTH($A25,0))</f>
        <v>0</v>
      </c>
      <c r="J25" s="19">
        <f t="shared" si="1"/>
        <v>0</v>
      </c>
    </row>
    <row r="26" spans="1:10" ht="27.95" customHeight="1" x14ac:dyDescent="0.25">
      <c r="A26" s="41">
        <f t="shared" si="0"/>
        <v>518</v>
      </c>
      <c r="B26" s="31"/>
      <c r="C26" s="7">
        <f>SUMIFS(Dados!$I$1:$I$1993,Dados!$K$1:$K$1993,Tp.Despesas!C$7,Dados!$J$1:$J$1993,"&gt;="&amp;$A26,Dados!$J$1:$J$1993,"&lt;="&amp;EOMONTH($A26,0))</f>
        <v>0</v>
      </c>
      <c r="D26" s="7">
        <f>SUMIFS(Dados!$I$1:$I$1993,Dados!$K$1:$K$1993,Tp.Despesas!D$7,Dados!$J$1:$J$1993,"&gt;="&amp;$A26,Dados!$J$1:$J$1993,"&lt;="&amp;EOMONTH($A26,0))</f>
        <v>0</v>
      </c>
      <c r="E26" s="7">
        <f>SUMIFS(Dados!$I$1:$I$1993,Dados!$K$1:$K$1993,Tp.Despesas!E$7,Dados!$J$1:$J$1993,"&gt;="&amp;$A26,Dados!$J$1:$J$1993,"&lt;="&amp;EOMONTH($A26,0))</f>
        <v>0</v>
      </c>
      <c r="F26" s="7">
        <f>SUMIFS(Dados!$I$1:$I$1993,Dados!$K$1:$K$1993,Tp.Despesas!F$7,Dados!$J$1:$J$1993,"&gt;="&amp;$A26,Dados!$J$1:$J$1993,"&lt;="&amp;EOMONTH($A26,0))</f>
        <v>0</v>
      </c>
      <c r="G26" s="7">
        <f>SUMIFS(Dados!$I$1:$I$1993,Dados!$K$1:$K$1993,Tp.Despesas!G$7,Dados!$J$1:$J$1993,"&gt;="&amp;$A26,Dados!$J$1:$J$1993,"&lt;="&amp;EOMONTH($A26,0))</f>
        <v>0</v>
      </c>
      <c r="H26" s="7">
        <f>SUMIFS(Dados!$I$1:$I$1993,Dados!$K$1:$K$1993,Tp.Despesas!H$7,Dados!$J$1:$J$1993,"&gt;="&amp;$A26,Dados!$J$1:$J$1993,"&lt;="&amp;EOMONTH($A26,0))</f>
        <v>0</v>
      </c>
      <c r="I26" s="7">
        <f>SUMIFS(Dados!$I$1:$I$1993,Dados!$K$1:$K$1993,Tp.Despesas!I$7,Dados!$J$1:$J$1993,"&gt;="&amp;$A26,Dados!$J$1:$J$1993,"&lt;="&amp;EOMONTH($A26,0))</f>
        <v>0</v>
      </c>
      <c r="J26" s="19">
        <f t="shared" si="1"/>
        <v>0</v>
      </c>
    </row>
    <row r="27" spans="1:10" ht="27.95" customHeight="1" x14ac:dyDescent="0.25">
      <c r="A27" s="41">
        <f t="shared" si="0"/>
        <v>548</v>
      </c>
      <c r="B27" s="31"/>
      <c r="C27" s="7">
        <f>SUMIFS(Dados!$I$1:$I$1993,Dados!$K$1:$K$1993,Tp.Despesas!C$7,Dados!$J$1:$J$1993,"&gt;="&amp;$A27,Dados!$J$1:$J$1993,"&lt;="&amp;EOMONTH($A27,0))</f>
        <v>0</v>
      </c>
      <c r="D27" s="7">
        <f>SUMIFS(Dados!$I$1:$I$1993,Dados!$K$1:$K$1993,Tp.Despesas!D$7,Dados!$J$1:$J$1993,"&gt;="&amp;$A27,Dados!$J$1:$J$1993,"&lt;="&amp;EOMONTH($A27,0))</f>
        <v>0</v>
      </c>
      <c r="E27" s="7">
        <f>SUMIFS(Dados!$I$1:$I$1993,Dados!$K$1:$K$1993,Tp.Despesas!E$7,Dados!$J$1:$J$1993,"&gt;="&amp;$A27,Dados!$J$1:$J$1993,"&lt;="&amp;EOMONTH($A27,0))</f>
        <v>0</v>
      </c>
      <c r="F27" s="7">
        <f>SUMIFS(Dados!$I$1:$I$1993,Dados!$K$1:$K$1993,Tp.Despesas!F$7,Dados!$J$1:$J$1993,"&gt;="&amp;$A27,Dados!$J$1:$J$1993,"&lt;="&amp;EOMONTH($A27,0))</f>
        <v>0</v>
      </c>
      <c r="G27" s="7">
        <f>SUMIFS(Dados!$I$1:$I$1993,Dados!$K$1:$K$1993,Tp.Despesas!G$7,Dados!$J$1:$J$1993,"&gt;="&amp;$A27,Dados!$J$1:$J$1993,"&lt;="&amp;EOMONTH($A27,0))</f>
        <v>0</v>
      </c>
      <c r="H27" s="7">
        <f>SUMIFS(Dados!$I$1:$I$1993,Dados!$K$1:$K$1993,Tp.Despesas!H$7,Dados!$J$1:$J$1993,"&gt;="&amp;$A27,Dados!$J$1:$J$1993,"&lt;="&amp;EOMONTH($A27,0))</f>
        <v>0</v>
      </c>
      <c r="I27" s="7">
        <f>SUMIFS(Dados!$I$1:$I$1993,Dados!$K$1:$K$1993,Tp.Despesas!I$7,Dados!$J$1:$J$1993,"&gt;="&amp;$A27,Dados!$J$1:$J$1993,"&lt;="&amp;EOMONTH($A27,0))</f>
        <v>0</v>
      </c>
      <c r="J27" s="19">
        <f t="shared" si="1"/>
        <v>0</v>
      </c>
    </row>
    <row r="28" spans="1:10" ht="27.95" customHeight="1" x14ac:dyDescent="0.25">
      <c r="A28" s="41">
        <f t="shared" si="0"/>
        <v>579</v>
      </c>
      <c r="B28" s="31"/>
      <c r="C28" s="7">
        <f>SUMIFS(Dados!$I$1:$I$1993,Dados!$K$1:$K$1993,Tp.Despesas!C$7,Dados!$J$1:$J$1993,"&gt;="&amp;$A28,Dados!$J$1:$J$1993,"&lt;="&amp;EOMONTH($A28,0))</f>
        <v>0</v>
      </c>
      <c r="D28" s="7">
        <f>SUMIFS(Dados!$I$1:$I$1993,Dados!$K$1:$K$1993,Tp.Despesas!D$7,Dados!$J$1:$J$1993,"&gt;="&amp;$A28,Dados!$J$1:$J$1993,"&lt;="&amp;EOMONTH($A28,0))</f>
        <v>0</v>
      </c>
      <c r="E28" s="7">
        <f>SUMIFS(Dados!$I$1:$I$1993,Dados!$K$1:$K$1993,Tp.Despesas!E$7,Dados!$J$1:$J$1993,"&gt;="&amp;$A28,Dados!$J$1:$J$1993,"&lt;="&amp;EOMONTH($A28,0))</f>
        <v>0</v>
      </c>
      <c r="F28" s="7">
        <f>SUMIFS(Dados!$I$1:$I$1993,Dados!$K$1:$K$1993,Tp.Despesas!F$7,Dados!$J$1:$J$1993,"&gt;="&amp;$A28,Dados!$J$1:$J$1993,"&lt;="&amp;EOMONTH($A28,0))</f>
        <v>0</v>
      </c>
      <c r="G28" s="7">
        <f>SUMIFS(Dados!$I$1:$I$1993,Dados!$K$1:$K$1993,Tp.Despesas!G$7,Dados!$J$1:$J$1993,"&gt;="&amp;$A28,Dados!$J$1:$J$1993,"&lt;="&amp;EOMONTH($A28,0))</f>
        <v>0</v>
      </c>
      <c r="H28" s="7">
        <f>SUMIFS(Dados!$I$1:$I$1993,Dados!$K$1:$K$1993,Tp.Despesas!H$7,Dados!$J$1:$J$1993,"&gt;="&amp;$A28,Dados!$J$1:$J$1993,"&lt;="&amp;EOMONTH($A28,0))</f>
        <v>0</v>
      </c>
      <c r="I28" s="7">
        <f>SUMIFS(Dados!$I$1:$I$1993,Dados!$K$1:$K$1993,Tp.Despesas!I$7,Dados!$J$1:$J$1993,"&gt;="&amp;$A28,Dados!$J$1:$J$1993,"&lt;="&amp;EOMONTH($A28,0))</f>
        <v>0</v>
      </c>
      <c r="J28" s="19">
        <f t="shared" si="1"/>
        <v>0</v>
      </c>
    </row>
    <row r="29" spans="1:10" ht="27.95" customHeight="1" x14ac:dyDescent="0.25">
      <c r="A29" s="41">
        <f t="shared" si="0"/>
        <v>610</v>
      </c>
      <c r="B29" s="31"/>
      <c r="C29" s="7">
        <f>SUMIFS(Dados!$I$1:$I$1993,Dados!$K$1:$K$1993,Tp.Despesas!C$7,Dados!$J$1:$J$1993,"&gt;="&amp;$A29,Dados!$J$1:$J$1993,"&lt;="&amp;EOMONTH($A29,0))</f>
        <v>0</v>
      </c>
      <c r="D29" s="7">
        <f>SUMIFS(Dados!$I$1:$I$1993,Dados!$K$1:$K$1993,Tp.Despesas!D$7,Dados!$J$1:$J$1993,"&gt;="&amp;$A29,Dados!$J$1:$J$1993,"&lt;="&amp;EOMONTH($A29,0))</f>
        <v>0</v>
      </c>
      <c r="E29" s="7">
        <f>SUMIFS(Dados!$I$1:$I$1993,Dados!$K$1:$K$1993,Tp.Despesas!E$7,Dados!$J$1:$J$1993,"&gt;="&amp;$A29,Dados!$J$1:$J$1993,"&lt;="&amp;EOMONTH($A29,0))</f>
        <v>0</v>
      </c>
      <c r="F29" s="7">
        <f>SUMIFS(Dados!$I$1:$I$1993,Dados!$K$1:$K$1993,Tp.Despesas!F$7,Dados!$J$1:$J$1993,"&gt;="&amp;$A29,Dados!$J$1:$J$1993,"&lt;="&amp;EOMONTH($A29,0))</f>
        <v>0</v>
      </c>
      <c r="G29" s="7">
        <f>SUMIFS(Dados!$I$1:$I$1993,Dados!$K$1:$K$1993,Tp.Despesas!G$7,Dados!$J$1:$J$1993,"&gt;="&amp;$A29,Dados!$J$1:$J$1993,"&lt;="&amp;EOMONTH($A29,0))</f>
        <v>0</v>
      </c>
      <c r="H29" s="7">
        <f>SUMIFS(Dados!$I$1:$I$1993,Dados!$K$1:$K$1993,Tp.Despesas!H$7,Dados!$J$1:$J$1993,"&gt;="&amp;$A29,Dados!$J$1:$J$1993,"&lt;="&amp;EOMONTH($A29,0))</f>
        <v>0</v>
      </c>
      <c r="I29" s="7">
        <f>SUMIFS(Dados!$I$1:$I$1993,Dados!$K$1:$K$1993,Tp.Despesas!I$7,Dados!$J$1:$J$1993,"&gt;="&amp;$A29,Dados!$J$1:$J$1993,"&lt;="&amp;EOMONTH($A29,0))</f>
        <v>0</v>
      </c>
      <c r="J29" s="18">
        <f t="shared" si="1"/>
        <v>0</v>
      </c>
    </row>
    <row r="30" spans="1:10" ht="27.95" customHeight="1" x14ac:dyDescent="0.25">
      <c r="A30" s="41">
        <f t="shared" si="0"/>
        <v>640</v>
      </c>
      <c r="B30" s="31"/>
      <c r="C30" s="7">
        <f>SUMIFS(Dados!$I$1:$I$1993,Dados!$K$1:$K$1993,Tp.Despesas!C$7,Dados!$J$1:$J$1993,"&gt;="&amp;$A30,Dados!$J$1:$J$1993,"&lt;="&amp;EOMONTH($A30,0))</f>
        <v>0</v>
      </c>
      <c r="D30" s="7">
        <f>SUMIFS(Dados!$I$1:$I$1993,Dados!$K$1:$K$1993,Tp.Despesas!D$7,Dados!$J$1:$J$1993,"&gt;="&amp;$A30,Dados!$J$1:$J$1993,"&lt;="&amp;EOMONTH($A30,0))</f>
        <v>0</v>
      </c>
      <c r="E30" s="7">
        <f>SUMIFS(Dados!$I$1:$I$1993,Dados!$K$1:$K$1993,Tp.Despesas!E$7,Dados!$J$1:$J$1993,"&gt;="&amp;$A30,Dados!$J$1:$J$1993,"&lt;="&amp;EOMONTH($A30,0))</f>
        <v>0</v>
      </c>
      <c r="F30" s="7">
        <f>SUMIFS(Dados!$I$1:$I$1993,Dados!$K$1:$K$1993,Tp.Despesas!F$7,Dados!$J$1:$J$1993,"&gt;="&amp;$A30,Dados!$J$1:$J$1993,"&lt;="&amp;EOMONTH($A30,0))</f>
        <v>0</v>
      </c>
      <c r="G30" s="7">
        <f>SUMIFS(Dados!$I$1:$I$1993,Dados!$K$1:$K$1993,Tp.Despesas!G$7,Dados!$J$1:$J$1993,"&gt;="&amp;$A30,Dados!$J$1:$J$1993,"&lt;="&amp;EOMONTH($A30,0))</f>
        <v>0</v>
      </c>
      <c r="H30" s="7">
        <f>SUMIFS(Dados!$I$1:$I$1993,Dados!$K$1:$K$1993,Tp.Despesas!H$7,Dados!$J$1:$J$1993,"&gt;="&amp;$A30,Dados!$J$1:$J$1993,"&lt;="&amp;EOMONTH($A30,0))</f>
        <v>0</v>
      </c>
      <c r="I30" s="7">
        <f>SUMIFS(Dados!$I$1:$I$1993,Dados!$K$1:$K$1993,Tp.Despesas!I$7,Dados!$J$1:$J$1993,"&gt;="&amp;$A30,Dados!$J$1:$J$1993,"&lt;="&amp;EOMONTH($A30,0))</f>
        <v>0</v>
      </c>
      <c r="J30" s="19">
        <f t="shared" si="1"/>
        <v>0</v>
      </c>
    </row>
    <row r="31" spans="1:10" ht="27.95" customHeight="1" x14ac:dyDescent="0.25">
      <c r="A31" s="41">
        <f t="shared" si="0"/>
        <v>671</v>
      </c>
      <c r="B31" s="31"/>
      <c r="C31" s="7">
        <f>SUMIFS(Dados!$I$1:$I$1993,Dados!$K$1:$K$1993,Tp.Despesas!C$7,Dados!$J$1:$J$1993,"&gt;="&amp;$A31,Dados!$J$1:$J$1993,"&lt;="&amp;EOMONTH($A31,0))</f>
        <v>0</v>
      </c>
      <c r="D31" s="7">
        <f>SUMIFS(Dados!$I$1:$I$1993,Dados!$K$1:$K$1993,Tp.Despesas!D$7,Dados!$J$1:$J$1993,"&gt;="&amp;$A31,Dados!$J$1:$J$1993,"&lt;="&amp;EOMONTH($A31,0))</f>
        <v>0</v>
      </c>
      <c r="E31" s="7">
        <f>SUMIFS(Dados!$I$1:$I$1993,Dados!$K$1:$K$1993,Tp.Despesas!E$7,Dados!$J$1:$J$1993,"&gt;="&amp;$A31,Dados!$J$1:$J$1993,"&lt;="&amp;EOMONTH($A31,0))</f>
        <v>0</v>
      </c>
      <c r="F31" s="7">
        <f>SUMIFS(Dados!$I$1:$I$1993,Dados!$K$1:$K$1993,Tp.Despesas!F$7,Dados!$J$1:$J$1993,"&gt;="&amp;$A31,Dados!$J$1:$J$1993,"&lt;="&amp;EOMONTH($A31,0))</f>
        <v>0</v>
      </c>
      <c r="G31" s="7">
        <f>SUMIFS(Dados!$I$1:$I$1993,Dados!$K$1:$K$1993,Tp.Despesas!G$7,Dados!$J$1:$J$1993,"&gt;="&amp;$A31,Dados!$J$1:$J$1993,"&lt;="&amp;EOMONTH($A31,0))</f>
        <v>0</v>
      </c>
      <c r="H31" s="7">
        <f>SUMIFS(Dados!$I$1:$I$1993,Dados!$K$1:$K$1993,Tp.Despesas!H$7,Dados!$J$1:$J$1993,"&gt;="&amp;$A31,Dados!$J$1:$J$1993,"&lt;="&amp;EOMONTH($A31,0))</f>
        <v>0</v>
      </c>
      <c r="I31" s="7">
        <f>SUMIFS(Dados!$I$1:$I$1993,Dados!$K$1:$K$1993,Tp.Despesas!I$7,Dados!$J$1:$J$1993,"&gt;="&amp;$A31,Dados!$J$1:$J$1993,"&lt;="&amp;EOMONTH($A31,0))</f>
        <v>0</v>
      </c>
      <c r="J31" s="19">
        <f t="shared" si="1"/>
        <v>0</v>
      </c>
    </row>
    <row r="32" spans="1:10" ht="27.95" customHeight="1" x14ac:dyDescent="0.25">
      <c r="A32" s="41">
        <f t="shared" si="0"/>
        <v>701</v>
      </c>
      <c r="B32" s="31"/>
      <c r="C32" s="7">
        <f>SUMIFS(Dados!$I$1:$I$1993,Dados!$K$1:$K$1993,Tp.Despesas!C$7,Dados!$J$1:$J$1993,"&gt;="&amp;$A32,Dados!$J$1:$J$1993,"&lt;="&amp;EOMONTH($A32,0))</f>
        <v>0</v>
      </c>
      <c r="D32" s="7">
        <f>SUMIFS(Dados!$I$1:$I$1993,Dados!$K$1:$K$1993,Tp.Despesas!D$7,Dados!$J$1:$J$1993,"&gt;="&amp;$A32,Dados!$J$1:$J$1993,"&lt;="&amp;EOMONTH($A32,0))</f>
        <v>0</v>
      </c>
      <c r="E32" s="7">
        <f>SUMIFS(Dados!$I$1:$I$1993,Dados!$K$1:$K$1993,Tp.Despesas!E$7,Dados!$J$1:$J$1993,"&gt;="&amp;$A32,Dados!$J$1:$J$1993,"&lt;="&amp;EOMONTH($A32,0))</f>
        <v>0</v>
      </c>
      <c r="F32" s="7">
        <f>SUMIFS(Dados!$I$1:$I$1993,Dados!$K$1:$K$1993,Tp.Despesas!F$7,Dados!$J$1:$J$1993,"&gt;="&amp;$A32,Dados!$J$1:$J$1993,"&lt;="&amp;EOMONTH($A32,0))</f>
        <v>0</v>
      </c>
      <c r="G32" s="7">
        <f>SUMIFS(Dados!$I$1:$I$1993,Dados!$K$1:$K$1993,Tp.Despesas!G$7,Dados!$J$1:$J$1993,"&gt;="&amp;$A32,Dados!$J$1:$J$1993,"&lt;="&amp;EOMONTH($A32,0))</f>
        <v>0</v>
      </c>
      <c r="H32" s="7">
        <f>SUMIFS(Dados!$I$1:$I$1993,Dados!$K$1:$K$1993,Tp.Despesas!H$7,Dados!$J$1:$J$1993,"&gt;="&amp;$A32,Dados!$J$1:$J$1993,"&lt;="&amp;EOMONTH($A32,0))</f>
        <v>0</v>
      </c>
      <c r="I32" s="7">
        <f>SUMIFS(Dados!$I$1:$I$1993,Dados!$K$1:$K$1993,Tp.Despesas!I$7,Dados!$J$1:$J$1993,"&gt;="&amp;$A32,Dados!$J$1:$J$1993,"&lt;="&amp;EOMONTH($A32,0))</f>
        <v>0</v>
      </c>
      <c r="J32" s="19">
        <f t="shared" si="1"/>
        <v>0</v>
      </c>
    </row>
    <row r="33" spans="1:10" ht="27.95" customHeight="1" x14ac:dyDescent="0.25">
      <c r="A33" s="41">
        <f t="shared" si="0"/>
        <v>732</v>
      </c>
      <c r="B33" s="31"/>
      <c r="C33" s="7">
        <f>SUMIFS(Dados!$I$1:$I$1993,Dados!$K$1:$K$1993,Tp.Despesas!C$7,Dados!$J$1:$J$1993,"&gt;="&amp;$A33,Dados!$J$1:$J$1993,"&lt;="&amp;EOMONTH($A33,0))</f>
        <v>0</v>
      </c>
      <c r="D33" s="7">
        <f>SUMIFS(Dados!$I$1:$I$1993,Dados!$K$1:$K$1993,Tp.Despesas!D$7,Dados!$J$1:$J$1993,"&gt;="&amp;$A33,Dados!$J$1:$J$1993,"&lt;="&amp;EOMONTH($A33,0))</f>
        <v>0</v>
      </c>
      <c r="E33" s="7">
        <f>SUMIFS(Dados!$I$1:$I$1993,Dados!$K$1:$K$1993,Tp.Despesas!E$7,Dados!$J$1:$J$1993,"&gt;="&amp;$A33,Dados!$J$1:$J$1993,"&lt;="&amp;EOMONTH($A33,0))</f>
        <v>0</v>
      </c>
      <c r="F33" s="7">
        <f>SUMIFS(Dados!$I$1:$I$1993,Dados!$K$1:$K$1993,Tp.Despesas!F$7,Dados!$J$1:$J$1993,"&gt;="&amp;$A33,Dados!$J$1:$J$1993,"&lt;="&amp;EOMONTH($A33,0))</f>
        <v>0</v>
      </c>
      <c r="G33" s="7">
        <f>SUMIFS(Dados!$I$1:$I$1993,Dados!$K$1:$K$1993,Tp.Despesas!G$7,Dados!$J$1:$J$1993,"&gt;="&amp;$A33,Dados!$J$1:$J$1993,"&lt;="&amp;EOMONTH($A33,0))</f>
        <v>0</v>
      </c>
      <c r="H33" s="7">
        <f>SUMIFS(Dados!$I$1:$I$1993,Dados!$K$1:$K$1993,Tp.Despesas!H$7,Dados!$J$1:$J$1993,"&gt;="&amp;$A33,Dados!$J$1:$J$1993,"&lt;="&amp;EOMONTH($A33,0))</f>
        <v>0</v>
      </c>
      <c r="I33" s="7">
        <f>SUMIFS(Dados!$I$1:$I$1993,Dados!$K$1:$K$1993,Tp.Despesas!I$7,Dados!$J$1:$J$1993,"&gt;="&amp;$A33,Dados!$J$1:$J$1993,"&lt;="&amp;EOMONTH($A33,0))</f>
        <v>0</v>
      </c>
      <c r="J33" s="18">
        <f t="shared" si="1"/>
        <v>0</v>
      </c>
    </row>
    <row r="34" spans="1:10" ht="27.95" customHeight="1" x14ac:dyDescent="0.25">
      <c r="A34" s="41">
        <f t="shared" si="0"/>
        <v>763</v>
      </c>
      <c r="B34" s="31"/>
      <c r="C34" s="7">
        <f>SUMIFS(Dados!$I$1:$I$1993,Dados!$K$1:$K$1993,Tp.Despesas!C$7,Dados!$J$1:$J$1993,"&gt;="&amp;$A34,Dados!$J$1:$J$1993,"&lt;="&amp;EOMONTH($A34,0))</f>
        <v>0</v>
      </c>
      <c r="D34" s="7">
        <f>SUMIFS(Dados!$I$1:$I$1993,Dados!$K$1:$K$1993,Tp.Despesas!D$7,Dados!$J$1:$J$1993,"&gt;="&amp;$A34,Dados!$J$1:$J$1993,"&lt;="&amp;EOMONTH($A34,0))</f>
        <v>0</v>
      </c>
      <c r="E34" s="7">
        <f>SUMIFS(Dados!$I$1:$I$1993,Dados!$K$1:$K$1993,Tp.Despesas!E$7,Dados!$J$1:$J$1993,"&gt;="&amp;$A34,Dados!$J$1:$J$1993,"&lt;="&amp;EOMONTH($A34,0))</f>
        <v>0</v>
      </c>
      <c r="F34" s="7">
        <f>SUMIFS(Dados!$I$1:$I$1993,Dados!$K$1:$K$1993,Tp.Despesas!F$7,Dados!$J$1:$J$1993,"&gt;="&amp;$A34,Dados!$J$1:$J$1993,"&lt;="&amp;EOMONTH($A34,0))</f>
        <v>0</v>
      </c>
      <c r="G34" s="7">
        <f>SUMIFS(Dados!$I$1:$I$1993,Dados!$K$1:$K$1993,Tp.Despesas!G$7,Dados!$J$1:$J$1993,"&gt;="&amp;$A34,Dados!$J$1:$J$1993,"&lt;="&amp;EOMONTH($A34,0))</f>
        <v>0</v>
      </c>
      <c r="H34" s="7">
        <f>SUMIFS(Dados!$I$1:$I$1993,Dados!$K$1:$K$1993,Tp.Despesas!H$7,Dados!$J$1:$J$1993,"&gt;="&amp;$A34,Dados!$J$1:$J$1993,"&lt;="&amp;EOMONTH($A34,0))</f>
        <v>0</v>
      </c>
      <c r="I34" s="7">
        <f>SUMIFS(Dados!$I$1:$I$1993,Dados!$K$1:$K$1993,Tp.Despesas!I$7,Dados!$J$1:$J$1993,"&gt;="&amp;$A34,Dados!$J$1:$J$1993,"&lt;="&amp;EOMONTH($A34,0))</f>
        <v>0</v>
      </c>
      <c r="J34" s="19">
        <f t="shared" si="1"/>
        <v>0</v>
      </c>
    </row>
    <row r="35" spans="1:10" ht="27.95" customHeight="1" x14ac:dyDescent="0.25">
      <c r="A35" s="41">
        <f t="shared" si="0"/>
        <v>791</v>
      </c>
      <c r="B35" s="31"/>
      <c r="C35" s="7">
        <f>SUMIFS(Dados!$I$1:$I$1993,Dados!$K$1:$K$1993,Tp.Despesas!C$7,Dados!$J$1:$J$1993,"&gt;="&amp;$A35,Dados!$J$1:$J$1993,"&lt;="&amp;EOMONTH($A35,0))</f>
        <v>0</v>
      </c>
      <c r="D35" s="7">
        <f>SUMIFS(Dados!$I$1:$I$1993,Dados!$K$1:$K$1993,Tp.Despesas!D$7,Dados!$J$1:$J$1993,"&gt;="&amp;$A35,Dados!$J$1:$J$1993,"&lt;="&amp;EOMONTH($A35,0))</f>
        <v>0</v>
      </c>
      <c r="E35" s="7">
        <f>SUMIFS(Dados!$I$1:$I$1993,Dados!$K$1:$K$1993,Tp.Despesas!E$7,Dados!$J$1:$J$1993,"&gt;="&amp;$A35,Dados!$J$1:$J$1993,"&lt;="&amp;EOMONTH($A35,0))</f>
        <v>0</v>
      </c>
      <c r="F35" s="7">
        <f>SUMIFS(Dados!$I$1:$I$1993,Dados!$K$1:$K$1993,Tp.Despesas!F$7,Dados!$J$1:$J$1993,"&gt;="&amp;$A35,Dados!$J$1:$J$1993,"&lt;="&amp;EOMONTH($A35,0))</f>
        <v>0</v>
      </c>
      <c r="G35" s="7">
        <f>SUMIFS(Dados!$I$1:$I$1993,Dados!$K$1:$K$1993,Tp.Despesas!G$7,Dados!$J$1:$J$1993,"&gt;="&amp;$A35,Dados!$J$1:$J$1993,"&lt;="&amp;EOMONTH($A35,0))</f>
        <v>0</v>
      </c>
      <c r="H35" s="7">
        <f>SUMIFS(Dados!$I$1:$I$1993,Dados!$K$1:$K$1993,Tp.Despesas!H$7,Dados!$J$1:$J$1993,"&gt;="&amp;$A35,Dados!$J$1:$J$1993,"&lt;="&amp;EOMONTH($A35,0))</f>
        <v>0</v>
      </c>
      <c r="I35" s="7">
        <f>SUMIFS(Dados!$I$1:$I$1993,Dados!$K$1:$K$1993,Tp.Despesas!I$7,Dados!$J$1:$J$1993,"&gt;="&amp;$A35,Dados!$J$1:$J$1993,"&lt;="&amp;EOMONTH($A35,0))</f>
        <v>0</v>
      </c>
      <c r="J35" s="19">
        <f t="shared" si="1"/>
        <v>0</v>
      </c>
    </row>
    <row r="36" spans="1:10" ht="27.95" customHeight="1" x14ac:dyDescent="0.25">
      <c r="A36" s="41">
        <f t="shared" si="0"/>
        <v>822</v>
      </c>
      <c r="B36" s="31"/>
      <c r="C36" s="7">
        <f>SUMIFS(Dados!$I$1:$I$1993,Dados!$K$1:$K$1993,Tp.Despesas!C$7,Dados!$J$1:$J$1993,"&gt;="&amp;$A36,Dados!$J$1:$J$1993,"&lt;="&amp;EOMONTH($A36,0))</f>
        <v>0</v>
      </c>
      <c r="D36" s="7">
        <f>SUMIFS(Dados!$I$1:$I$1993,Dados!$K$1:$K$1993,Tp.Despesas!D$7,Dados!$J$1:$J$1993,"&gt;="&amp;$A36,Dados!$J$1:$J$1993,"&lt;="&amp;EOMONTH($A36,0))</f>
        <v>0</v>
      </c>
      <c r="E36" s="7">
        <f>SUMIFS(Dados!$I$1:$I$1993,Dados!$K$1:$K$1993,Tp.Despesas!E$7,Dados!$J$1:$J$1993,"&gt;="&amp;$A36,Dados!$J$1:$J$1993,"&lt;="&amp;EOMONTH($A36,0))</f>
        <v>0</v>
      </c>
      <c r="F36" s="7">
        <f>SUMIFS(Dados!$I$1:$I$1993,Dados!$K$1:$K$1993,Tp.Despesas!F$7,Dados!$J$1:$J$1993,"&gt;="&amp;$A36,Dados!$J$1:$J$1993,"&lt;="&amp;EOMONTH($A36,0))</f>
        <v>0</v>
      </c>
      <c r="G36" s="7">
        <f>SUMIFS(Dados!$I$1:$I$1993,Dados!$K$1:$K$1993,Tp.Despesas!G$7,Dados!$J$1:$J$1993,"&gt;="&amp;$A36,Dados!$J$1:$J$1993,"&lt;="&amp;EOMONTH($A36,0))</f>
        <v>0</v>
      </c>
      <c r="H36" s="7">
        <f>SUMIFS(Dados!$I$1:$I$1993,Dados!$K$1:$K$1993,Tp.Despesas!H$7,Dados!$J$1:$J$1993,"&gt;="&amp;$A36,Dados!$J$1:$J$1993,"&lt;="&amp;EOMONTH($A36,0))</f>
        <v>0</v>
      </c>
      <c r="I36" s="7">
        <f>SUMIFS(Dados!$I$1:$I$1993,Dados!$K$1:$K$1993,Tp.Despesas!I$7,Dados!$J$1:$J$1993,"&gt;="&amp;$A36,Dados!$J$1:$J$1993,"&lt;="&amp;EOMONTH($A36,0))</f>
        <v>0</v>
      </c>
      <c r="J36" s="19">
        <f t="shared" si="1"/>
        <v>0</v>
      </c>
    </row>
    <row r="37" spans="1:10" ht="27.95" customHeight="1" x14ac:dyDescent="0.25">
      <c r="A37" s="41">
        <f t="shared" si="0"/>
        <v>852</v>
      </c>
      <c r="B37" s="31"/>
      <c r="C37" s="7">
        <f>SUMIFS(Dados!$I$1:$I$1993,Dados!$K$1:$K$1993,Tp.Despesas!C$7,Dados!$J$1:$J$1993,"&gt;="&amp;$A37,Dados!$J$1:$J$1993,"&lt;="&amp;EOMONTH($A37,0))</f>
        <v>0</v>
      </c>
      <c r="D37" s="7">
        <f>SUMIFS(Dados!$I$1:$I$1993,Dados!$K$1:$K$1993,Tp.Despesas!D$7,Dados!$J$1:$J$1993,"&gt;="&amp;$A37,Dados!$J$1:$J$1993,"&lt;="&amp;EOMONTH($A37,0))</f>
        <v>0</v>
      </c>
      <c r="E37" s="7">
        <f>SUMIFS(Dados!$I$1:$I$1993,Dados!$K$1:$K$1993,Tp.Despesas!E$7,Dados!$J$1:$J$1993,"&gt;="&amp;$A37,Dados!$J$1:$J$1993,"&lt;="&amp;EOMONTH($A37,0))</f>
        <v>0</v>
      </c>
      <c r="F37" s="7">
        <f>SUMIFS(Dados!$I$1:$I$1993,Dados!$K$1:$K$1993,Tp.Despesas!F$7,Dados!$J$1:$J$1993,"&gt;="&amp;$A37,Dados!$J$1:$J$1993,"&lt;="&amp;EOMONTH($A37,0))</f>
        <v>0</v>
      </c>
      <c r="G37" s="7">
        <f>SUMIFS(Dados!$I$1:$I$1993,Dados!$K$1:$K$1993,Tp.Despesas!G$7,Dados!$J$1:$J$1993,"&gt;="&amp;$A37,Dados!$J$1:$J$1993,"&lt;="&amp;EOMONTH($A37,0))</f>
        <v>0</v>
      </c>
      <c r="H37" s="7">
        <f>SUMIFS(Dados!$I$1:$I$1993,Dados!$K$1:$K$1993,Tp.Despesas!H$7,Dados!$J$1:$J$1993,"&gt;="&amp;$A37,Dados!$J$1:$J$1993,"&lt;="&amp;EOMONTH($A37,0))</f>
        <v>0</v>
      </c>
      <c r="I37" s="7">
        <f>SUMIFS(Dados!$I$1:$I$1993,Dados!$K$1:$K$1993,Tp.Despesas!I$7,Dados!$J$1:$J$1993,"&gt;="&amp;$A37,Dados!$J$1:$J$1993,"&lt;="&amp;EOMONTH($A37,0))</f>
        <v>0</v>
      </c>
      <c r="J37" s="19">
        <f t="shared" si="1"/>
        <v>0</v>
      </c>
    </row>
    <row r="38" spans="1:10" ht="27.95" customHeight="1" x14ac:dyDescent="0.25">
      <c r="A38" s="41">
        <f t="shared" si="0"/>
        <v>883</v>
      </c>
      <c r="B38" s="31"/>
      <c r="C38" s="7">
        <f>SUMIFS(Dados!$I$1:$I$1993,Dados!$K$1:$K$1993,Tp.Despesas!C$7,Dados!$J$1:$J$1993,"&gt;="&amp;$A38,Dados!$J$1:$J$1993,"&lt;="&amp;EOMONTH($A38,0))</f>
        <v>0</v>
      </c>
      <c r="D38" s="7">
        <f>SUMIFS(Dados!$I$1:$I$1993,Dados!$K$1:$K$1993,Tp.Despesas!D$7,Dados!$J$1:$J$1993,"&gt;="&amp;$A38,Dados!$J$1:$J$1993,"&lt;="&amp;EOMONTH($A38,0))</f>
        <v>0</v>
      </c>
      <c r="E38" s="7">
        <f>SUMIFS(Dados!$I$1:$I$1993,Dados!$K$1:$K$1993,Tp.Despesas!E$7,Dados!$J$1:$J$1993,"&gt;="&amp;$A38,Dados!$J$1:$J$1993,"&lt;="&amp;EOMONTH($A38,0))</f>
        <v>0</v>
      </c>
      <c r="F38" s="7">
        <f>SUMIFS(Dados!$I$1:$I$1993,Dados!$K$1:$K$1993,Tp.Despesas!F$7,Dados!$J$1:$J$1993,"&gt;="&amp;$A38,Dados!$J$1:$J$1993,"&lt;="&amp;EOMONTH($A38,0))</f>
        <v>0</v>
      </c>
      <c r="G38" s="7">
        <f>SUMIFS(Dados!$I$1:$I$1993,Dados!$K$1:$K$1993,Tp.Despesas!G$7,Dados!$J$1:$J$1993,"&gt;="&amp;$A38,Dados!$J$1:$J$1993,"&lt;="&amp;EOMONTH($A38,0))</f>
        <v>0</v>
      </c>
      <c r="H38" s="7">
        <f>SUMIFS(Dados!$I$1:$I$1993,Dados!$K$1:$K$1993,Tp.Despesas!H$7,Dados!$J$1:$J$1993,"&gt;="&amp;$A38,Dados!$J$1:$J$1993,"&lt;="&amp;EOMONTH($A38,0))</f>
        <v>0</v>
      </c>
      <c r="I38" s="7">
        <f>SUMIFS(Dados!$I$1:$I$1993,Dados!$K$1:$K$1993,Tp.Despesas!I$7,Dados!$J$1:$J$1993,"&gt;="&amp;$A38,Dados!$J$1:$J$1993,"&lt;="&amp;EOMONTH($A38,0))</f>
        <v>0</v>
      </c>
      <c r="J38" s="19">
        <f t="shared" si="1"/>
        <v>0</v>
      </c>
    </row>
    <row r="39" spans="1:10" ht="27.95" customHeight="1" x14ac:dyDescent="0.25">
      <c r="A39" s="41">
        <f t="shared" si="0"/>
        <v>913</v>
      </c>
      <c r="B39" s="31"/>
      <c r="C39" s="7">
        <f>SUMIFS(Dados!$I$1:$I$1993,Dados!$K$1:$K$1993,Tp.Despesas!C$7,Dados!$J$1:$J$1993,"&gt;="&amp;$A39,Dados!$J$1:$J$1993,"&lt;="&amp;EOMONTH($A39,0))</f>
        <v>0</v>
      </c>
      <c r="D39" s="7">
        <f>SUMIFS(Dados!$I$1:$I$1993,Dados!$K$1:$K$1993,Tp.Despesas!D$7,Dados!$J$1:$J$1993,"&gt;="&amp;$A39,Dados!$J$1:$J$1993,"&lt;="&amp;EOMONTH($A39,0))</f>
        <v>0</v>
      </c>
      <c r="E39" s="7">
        <f>SUMIFS(Dados!$I$1:$I$1993,Dados!$K$1:$K$1993,Tp.Despesas!E$7,Dados!$J$1:$J$1993,"&gt;="&amp;$A39,Dados!$J$1:$J$1993,"&lt;="&amp;EOMONTH($A39,0))</f>
        <v>0</v>
      </c>
      <c r="F39" s="7">
        <f>SUMIFS(Dados!$I$1:$I$1993,Dados!$K$1:$K$1993,Tp.Despesas!F$7,Dados!$J$1:$J$1993,"&gt;="&amp;$A39,Dados!$J$1:$J$1993,"&lt;="&amp;EOMONTH($A39,0))</f>
        <v>0</v>
      </c>
      <c r="G39" s="7">
        <f>SUMIFS(Dados!$I$1:$I$1993,Dados!$K$1:$K$1993,Tp.Despesas!G$7,Dados!$J$1:$J$1993,"&gt;="&amp;$A39,Dados!$J$1:$J$1993,"&lt;="&amp;EOMONTH($A39,0))</f>
        <v>0</v>
      </c>
      <c r="H39" s="7">
        <f>SUMIFS(Dados!$I$1:$I$1993,Dados!$K$1:$K$1993,Tp.Despesas!H$7,Dados!$J$1:$J$1993,"&gt;="&amp;$A39,Dados!$J$1:$J$1993,"&lt;="&amp;EOMONTH($A39,0))</f>
        <v>0</v>
      </c>
      <c r="I39" s="7">
        <f>SUMIFS(Dados!$I$1:$I$1993,Dados!$K$1:$K$1993,Tp.Despesas!I$7,Dados!$J$1:$J$1993,"&gt;="&amp;$A39,Dados!$J$1:$J$1993,"&lt;="&amp;EOMONTH($A39,0))</f>
        <v>0</v>
      </c>
      <c r="J39" s="19">
        <f t="shared" si="1"/>
        <v>0</v>
      </c>
    </row>
    <row r="40" spans="1:10" ht="27.95" customHeight="1" x14ac:dyDescent="0.25">
      <c r="A40" s="41">
        <f t="shared" si="0"/>
        <v>944</v>
      </c>
      <c r="B40" s="31"/>
      <c r="C40" s="7">
        <f>SUMIFS(Dados!$I$1:$I$1993,Dados!$K$1:$K$1993,Tp.Despesas!C$7,Dados!$J$1:$J$1993,"&gt;="&amp;$A40,Dados!$J$1:$J$1993,"&lt;="&amp;EOMONTH($A40,0))</f>
        <v>0</v>
      </c>
      <c r="D40" s="7">
        <f>SUMIFS(Dados!$I$1:$I$1993,Dados!$K$1:$K$1993,Tp.Despesas!D$7,Dados!$J$1:$J$1993,"&gt;="&amp;$A40,Dados!$J$1:$J$1993,"&lt;="&amp;EOMONTH($A40,0))</f>
        <v>0</v>
      </c>
      <c r="E40" s="7">
        <f>SUMIFS(Dados!$I$1:$I$1993,Dados!$K$1:$K$1993,Tp.Despesas!E$7,Dados!$J$1:$J$1993,"&gt;="&amp;$A40,Dados!$J$1:$J$1993,"&lt;="&amp;EOMONTH($A40,0))</f>
        <v>0</v>
      </c>
      <c r="F40" s="7">
        <f>SUMIFS(Dados!$I$1:$I$1993,Dados!$K$1:$K$1993,Tp.Despesas!F$7,Dados!$J$1:$J$1993,"&gt;="&amp;$A40,Dados!$J$1:$J$1993,"&lt;="&amp;EOMONTH($A40,0))</f>
        <v>0</v>
      </c>
      <c r="G40" s="7">
        <f>SUMIFS(Dados!$I$1:$I$1993,Dados!$K$1:$K$1993,Tp.Despesas!G$7,Dados!$J$1:$J$1993,"&gt;="&amp;$A40,Dados!$J$1:$J$1993,"&lt;="&amp;EOMONTH($A40,0))</f>
        <v>0</v>
      </c>
      <c r="H40" s="7">
        <f>SUMIFS(Dados!$I$1:$I$1993,Dados!$K$1:$K$1993,Tp.Despesas!H$7,Dados!$J$1:$J$1993,"&gt;="&amp;$A40,Dados!$J$1:$J$1993,"&lt;="&amp;EOMONTH($A40,0))</f>
        <v>0</v>
      </c>
      <c r="I40" s="7">
        <f>SUMIFS(Dados!$I$1:$I$1993,Dados!$K$1:$K$1993,Tp.Despesas!I$7,Dados!$J$1:$J$1993,"&gt;="&amp;$A40,Dados!$J$1:$J$1993,"&lt;="&amp;EOMONTH($A40,0))</f>
        <v>0</v>
      </c>
      <c r="J40" s="19">
        <f t="shared" si="1"/>
        <v>0</v>
      </c>
    </row>
    <row r="41" spans="1:10" ht="27.95" customHeight="1" x14ac:dyDescent="0.25">
      <c r="A41" s="41">
        <f t="shared" si="0"/>
        <v>975</v>
      </c>
      <c r="B41" s="31"/>
      <c r="C41" s="7">
        <f>SUMIFS(Dados!$I$1:$I$1993,Dados!$K$1:$K$1993,Tp.Despesas!C$7,Dados!$J$1:$J$1993,"&gt;="&amp;$A41,Dados!$J$1:$J$1993,"&lt;="&amp;EOMONTH($A41,0))</f>
        <v>0</v>
      </c>
      <c r="D41" s="7">
        <f>SUMIFS(Dados!$I$1:$I$1993,Dados!$K$1:$K$1993,Tp.Despesas!D$7,Dados!$J$1:$J$1993,"&gt;="&amp;$A41,Dados!$J$1:$J$1993,"&lt;="&amp;EOMONTH($A41,0))</f>
        <v>0</v>
      </c>
      <c r="E41" s="7">
        <f>SUMIFS(Dados!$I$1:$I$1993,Dados!$K$1:$K$1993,Tp.Despesas!E$7,Dados!$J$1:$J$1993,"&gt;="&amp;$A41,Dados!$J$1:$J$1993,"&lt;="&amp;EOMONTH($A41,0))</f>
        <v>0</v>
      </c>
      <c r="F41" s="7">
        <f>SUMIFS(Dados!$I$1:$I$1993,Dados!$K$1:$K$1993,Tp.Despesas!F$7,Dados!$J$1:$J$1993,"&gt;="&amp;$A41,Dados!$J$1:$J$1993,"&lt;="&amp;EOMONTH($A41,0))</f>
        <v>0</v>
      </c>
      <c r="G41" s="7">
        <f>SUMIFS(Dados!$I$1:$I$1993,Dados!$K$1:$K$1993,Tp.Despesas!G$7,Dados!$J$1:$J$1993,"&gt;="&amp;$A41,Dados!$J$1:$J$1993,"&lt;="&amp;EOMONTH($A41,0))</f>
        <v>0</v>
      </c>
      <c r="H41" s="7">
        <f>SUMIFS(Dados!$I$1:$I$1993,Dados!$K$1:$K$1993,Tp.Despesas!H$7,Dados!$J$1:$J$1993,"&gt;="&amp;$A41,Dados!$J$1:$J$1993,"&lt;="&amp;EOMONTH($A41,0))</f>
        <v>0</v>
      </c>
      <c r="I41" s="7">
        <f>SUMIFS(Dados!$I$1:$I$1993,Dados!$K$1:$K$1993,Tp.Despesas!I$7,Dados!$J$1:$J$1993,"&gt;="&amp;$A41,Dados!$J$1:$J$1993,"&lt;="&amp;EOMONTH($A41,0))</f>
        <v>0</v>
      </c>
      <c r="J41" s="18">
        <f t="shared" si="1"/>
        <v>0</v>
      </c>
    </row>
    <row r="42" spans="1:10" ht="27.95" customHeight="1" x14ac:dyDescent="0.25">
      <c r="A42" s="41">
        <f t="shared" si="0"/>
        <v>1005</v>
      </c>
      <c r="B42" s="31"/>
      <c r="C42" s="7">
        <f>SUMIFS(Dados!$I$1:$I$1993,Dados!$K$1:$K$1993,Tp.Despesas!C$7,Dados!$J$1:$J$1993,"&gt;="&amp;$A42,Dados!$J$1:$J$1993,"&lt;="&amp;EOMONTH($A42,0))</f>
        <v>0</v>
      </c>
      <c r="D42" s="7">
        <f>SUMIFS(Dados!$I$1:$I$1993,Dados!$K$1:$K$1993,Tp.Despesas!D$7,Dados!$J$1:$J$1993,"&gt;="&amp;$A42,Dados!$J$1:$J$1993,"&lt;="&amp;EOMONTH($A42,0))</f>
        <v>0</v>
      </c>
      <c r="E42" s="7">
        <f>SUMIFS(Dados!$I$1:$I$1993,Dados!$K$1:$K$1993,Tp.Despesas!E$7,Dados!$J$1:$J$1993,"&gt;="&amp;$A42,Dados!$J$1:$J$1993,"&lt;="&amp;EOMONTH($A42,0))</f>
        <v>0</v>
      </c>
      <c r="F42" s="7">
        <f>SUMIFS(Dados!$I$1:$I$1993,Dados!$K$1:$K$1993,Tp.Despesas!F$7,Dados!$J$1:$J$1993,"&gt;="&amp;$A42,Dados!$J$1:$J$1993,"&lt;="&amp;EOMONTH($A42,0))</f>
        <v>0</v>
      </c>
      <c r="G42" s="7">
        <f>SUMIFS(Dados!$I$1:$I$1993,Dados!$K$1:$K$1993,Tp.Despesas!G$7,Dados!$J$1:$J$1993,"&gt;="&amp;$A42,Dados!$J$1:$J$1993,"&lt;="&amp;EOMONTH($A42,0))</f>
        <v>0</v>
      </c>
      <c r="H42" s="7">
        <f>SUMIFS(Dados!$I$1:$I$1993,Dados!$K$1:$K$1993,Tp.Despesas!H$7,Dados!$J$1:$J$1993,"&gt;="&amp;$A42,Dados!$J$1:$J$1993,"&lt;="&amp;EOMONTH($A42,0))</f>
        <v>0</v>
      </c>
      <c r="I42" s="7">
        <f>SUMIFS(Dados!$I$1:$I$1993,Dados!$K$1:$K$1993,Tp.Despesas!I$7,Dados!$J$1:$J$1993,"&gt;="&amp;$A42,Dados!$J$1:$J$1993,"&lt;="&amp;EOMONTH($A42,0))</f>
        <v>0</v>
      </c>
      <c r="J42" s="19">
        <f t="shared" si="1"/>
        <v>0</v>
      </c>
    </row>
    <row r="43" spans="1:10" ht="27.95" customHeight="1" x14ac:dyDescent="0.25">
      <c r="A43" s="41">
        <f t="shared" si="0"/>
        <v>1036</v>
      </c>
      <c r="B43" s="31"/>
      <c r="C43" s="7">
        <f>SUMIFS(Dados!$I$1:$I$1993,Dados!$K$1:$K$1993,Tp.Despesas!C$7,Dados!$J$1:$J$1993,"&gt;="&amp;$A43,Dados!$J$1:$J$1993,"&lt;="&amp;EOMONTH($A43,0))</f>
        <v>0</v>
      </c>
      <c r="D43" s="7">
        <f>SUMIFS(Dados!$I$1:$I$1993,Dados!$K$1:$K$1993,Tp.Despesas!D$7,Dados!$J$1:$J$1993,"&gt;="&amp;$A43,Dados!$J$1:$J$1993,"&lt;="&amp;EOMONTH($A43,0))</f>
        <v>0</v>
      </c>
      <c r="E43" s="7">
        <f>SUMIFS(Dados!$I$1:$I$1993,Dados!$K$1:$K$1993,Tp.Despesas!E$7,Dados!$J$1:$J$1993,"&gt;="&amp;$A43,Dados!$J$1:$J$1993,"&lt;="&amp;EOMONTH($A43,0))</f>
        <v>0</v>
      </c>
      <c r="F43" s="7">
        <f>SUMIFS(Dados!$I$1:$I$1993,Dados!$K$1:$K$1993,Tp.Despesas!F$7,Dados!$J$1:$J$1993,"&gt;="&amp;$A43,Dados!$J$1:$J$1993,"&lt;="&amp;EOMONTH($A43,0))</f>
        <v>0</v>
      </c>
      <c r="G43" s="7">
        <f>SUMIFS(Dados!$I$1:$I$1993,Dados!$K$1:$K$1993,Tp.Despesas!G$7,Dados!$J$1:$J$1993,"&gt;="&amp;$A43,Dados!$J$1:$J$1993,"&lt;="&amp;EOMONTH($A43,0))</f>
        <v>0</v>
      </c>
      <c r="H43" s="7">
        <f>SUMIFS(Dados!$I$1:$I$1993,Dados!$K$1:$K$1993,Tp.Despesas!H$7,Dados!$J$1:$J$1993,"&gt;="&amp;$A43,Dados!$J$1:$J$1993,"&lt;="&amp;EOMONTH($A43,0))</f>
        <v>0</v>
      </c>
      <c r="I43" s="7">
        <f>SUMIFS(Dados!$I$1:$I$1993,Dados!$K$1:$K$1993,Tp.Despesas!I$7,Dados!$J$1:$J$1993,"&gt;="&amp;$A43,Dados!$J$1:$J$1993,"&lt;="&amp;EOMONTH($A43,0))</f>
        <v>0</v>
      </c>
      <c r="J43" s="19">
        <f t="shared" si="1"/>
        <v>0</v>
      </c>
    </row>
    <row r="44" spans="1:10" ht="27.95" customHeight="1" thickBot="1" x14ac:dyDescent="0.3">
      <c r="A44" s="41">
        <f t="shared" si="0"/>
        <v>1066</v>
      </c>
      <c r="B44" s="31"/>
      <c r="C44" s="7">
        <f>SUMIFS(Dados!$I$1:$I$1993,Dados!$K$1:$K$1993,Tp.Despesas!C$7,Dados!$J$1:$J$1993,"&gt;="&amp;$A44,Dados!$J$1:$J$1993,"&lt;="&amp;EOMONTH($A44,0))</f>
        <v>0</v>
      </c>
      <c r="D44" s="7">
        <f>SUMIFS(Dados!$I$1:$I$1993,Dados!$K$1:$K$1993,Tp.Despesas!D$7,Dados!$J$1:$J$1993,"&gt;="&amp;$A44,Dados!$J$1:$J$1993,"&lt;="&amp;EOMONTH($A44,0))</f>
        <v>0</v>
      </c>
      <c r="E44" s="7">
        <f>SUMIFS(Dados!$I$1:$I$1993,Dados!$K$1:$K$1993,Tp.Despesas!E$7,Dados!$J$1:$J$1993,"&gt;="&amp;$A44,Dados!$J$1:$J$1993,"&lt;="&amp;EOMONTH($A44,0))</f>
        <v>0</v>
      </c>
      <c r="F44" s="7">
        <f>SUMIFS(Dados!$I$1:$I$1993,Dados!$K$1:$K$1993,Tp.Despesas!F$7,Dados!$J$1:$J$1993,"&gt;="&amp;$A44,Dados!$J$1:$J$1993,"&lt;="&amp;EOMONTH($A44,0))</f>
        <v>0</v>
      </c>
      <c r="G44" s="7">
        <f>SUMIFS(Dados!$I$1:$I$1993,Dados!$K$1:$K$1993,Tp.Despesas!G$7,Dados!$J$1:$J$1993,"&gt;="&amp;$A44,Dados!$J$1:$J$1993,"&lt;="&amp;EOMONTH($A44,0))</f>
        <v>0</v>
      </c>
      <c r="H44" s="7">
        <f>SUMIFS(Dados!$I$1:$I$1993,Dados!$K$1:$K$1993,Tp.Despesas!H$7,Dados!$J$1:$J$1993,"&gt;="&amp;$A44,Dados!$J$1:$J$1993,"&lt;="&amp;EOMONTH($A44,0))</f>
        <v>0</v>
      </c>
      <c r="I44" s="7">
        <f>SUMIFS(Dados!$I$1:$I$1993,Dados!$K$1:$K$1993,Tp.Despesas!I$7,Dados!$J$1:$J$1993,"&gt;="&amp;$A44,Dados!$J$1:$J$1993,"&lt;="&amp;EOMONTH($A44,0))</f>
        <v>0</v>
      </c>
      <c r="J44" s="19">
        <f t="shared" si="1"/>
        <v>0</v>
      </c>
    </row>
    <row r="45" spans="1:10" ht="33.950000000000003" customHeight="1" thickTop="1" thickBot="1" x14ac:dyDescent="0.3">
      <c r="A45" s="61" t="s">
        <v>18</v>
      </c>
      <c r="B45" s="62"/>
      <c r="C45" s="26">
        <f t="shared" ref="C45:J45" si="2">SUM(C9:C44)</f>
        <v>0</v>
      </c>
      <c r="D45" s="26">
        <f t="shared" si="2"/>
        <v>0</v>
      </c>
      <c r="E45" s="26">
        <f t="shared" si="2"/>
        <v>0</v>
      </c>
      <c r="F45" s="26">
        <f t="shared" si="2"/>
        <v>0</v>
      </c>
      <c r="G45" s="26">
        <f t="shared" si="2"/>
        <v>0</v>
      </c>
      <c r="H45" s="26">
        <f t="shared" si="2"/>
        <v>0</v>
      </c>
      <c r="I45" s="26">
        <f t="shared" si="2"/>
        <v>0</v>
      </c>
      <c r="J45" s="27">
        <f t="shared" si="2"/>
        <v>0</v>
      </c>
    </row>
    <row r="46" spans="1:10" ht="17.100000000000001" customHeight="1" thickBot="1" x14ac:dyDescent="0.3">
      <c r="A46" s="63"/>
      <c r="B46" s="64"/>
      <c r="C46" s="28" t="e">
        <f t="shared" ref="C46:J46" si="3">C45/$J$45</f>
        <v>#DIV/0!</v>
      </c>
      <c r="D46" s="28" t="e">
        <f t="shared" si="3"/>
        <v>#DIV/0!</v>
      </c>
      <c r="E46" s="28" t="e">
        <f t="shared" si="3"/>
        <v>#DIV/0!</v>
      </c>
      <c r="F46" s="28" t="e">
        <f t="shared" si="3"/>
        <v>#DIV/0!</v>
      </c>
      <c r="G46" s="28" t="e">
        <f t="shared" si="3"/>
        <v>#DIV/0!</v>
      </c>
      <c r="H46" s="28" t="e">
        <f t="shared" si="3"/>
        <v>#DIV/0!</v>
      </c>
      <c r="I46" s="28" t="e">
        <f t="shared" si="3"/>
        <v>#DIV/0!</v>
      </c>
      <c r="J46" s="29" t="e">
        <f t="shared" si="3"/>
        <v>#DIV/0!</v>
      </c>
    </row>
    <row r="48" spans="1:10" x14ac:dyDescent="0.25">
      <c r="J48" s="2">
        <f>RESUMO!L104</f>
        <v>0</v>
      </c>
    </row>
    <row r="49" spans="10:10" x14ac:dyDescent="0.25">
      <c r="J49" s="6">
        <f>J48-J45</f>
        <v>0</v>
      </c>
    </row>
    <row r="50" spans="10:10" x14ac:dyDescent="0.25">
      <c r="J50" s="32"/>
    </row>
  </sheetData>
  <mergeCells count="3">
    <mergeCell ref="A45:B46"/>
    <mergeCell ref="G1:J1"/>
    <mergeCell ref="N1:R1"/>
  </mergeCells>
  <printOptions horizontalCentered="1"/>
  <pageMargins left="0" right="0" top="0.59055118110236227" bottom="0.19685039370078741" header="0.31496062992125978" footer="0.31496062992125978"/>
  <pageSetup paperSize="9" scale="65" fitToHeight="6" orientation="portrait"/>
  <rowBreaks count="1" manualBreakCount="1">
    <brk id="5" max="16383" man="1"/>
  </rowBreaks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Dados</vt:lpstr>
      <vt:lpstr>RESUMO</vt:lpstr>
      <vt:lpstr>Tp.Despesas</vt:lpstr>
      <vt:lpstr>RESUMO!Area_de_impressao</vt:lpstr>
      <vt:lpstr>Tp.Despesas!Area_de_impressao</vt:lpstr>
      <vt:lpstr>RESUMO!Titulos_de_impressao</vt:lpstr>
      <vt:lpstr>Tp.Despesas!Titulos_de_impressao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emilia.mga@gmail.com</dc:creator>
  <cp:lastModifiedBy>Obras</cp:lastModifiedBy>
  <cp:lastPrinted>2024-10-16T15:05:30Z</cp:lastPrinted>
  <dcterms:created xsi:type="dcterms:W3CDTF">2024-03-28T14:12:47Z</dcterms:created>
  <dcterms:modified xsi:type="dcterms:W3CDTF">2025-05-30T18:21:08Z</dcterms:modified>
</cp:coreProperties>
</file>