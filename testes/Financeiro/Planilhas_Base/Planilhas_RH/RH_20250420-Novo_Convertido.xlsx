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95uuohIL_ZKum7lhwu-OzJCH_CGAb97G\Relatórios\Financeiro\Planilhas_Base\Planilhas_RH\"/>
    </mc:Choice>
  </mc:AlternateContent>
  <xr:revisionPtr revIDLastSave="0" documentId="8_{450F2EAA-CDF8-4364-A214-23AADC9A0F9B}" xr6:coauthVersionLast="47" xr6:coauthVersionMax="47" xr10:uidLastSave="{00000000-0000-0000-0000-000000000000}"/>
  <bookViews>
    <workbookView xWindow="13650" yWindow="330" windowWidth="14310" windowHeight="14910"/>
  </bookViews>
  <sheets>
    <sheet name="Conferência - Contas a Pagar Fo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2" i="1"/>
</calcChain>
</file>

<file path=xl/sharedStrings.xml><?xml version="1.0" encoding="utf-8"?>
<sst xmlns="http://schemas.openxmlformats.org/spreadsheetml/2006/main" count="842" uniqueCount="275">
  <si>
    <t>Codigo</t>
  </si>
  <si>
    <t>Data Pagto</t>
  </si>
  <si>
    <t>Valor Líquido</t>
  </si>
  <si>
    <t>Nome Empregado</t>
  </si>
  <si>
    <t>Forma Pagto</t>
  </si>
  <si>
    <t>Tipo Conta/Chave PIX</t>
  </si>
  <si>
    <t>N° Banco</t>
  </si>
  <si>
    <t>Agência</t>
  </si>
  <si>
    <t>Dig. Ag.</t>
  </si>
  <si>
    <t>Nome Banco</t>
  </si>
  <si>
    <t>Dig. Conta</t>
  </si>
  <si>
    <t>CPF</t>
  </si>
  <si>
    <t>N° Conta</t>
  </si>
  <si>
    <t>Competência</t>
  </si>
  <si>
    <t>Tipo Folha</t>
  </si>
  <si>
    <t>Código</t>
  </si>
  <si>
    <t>Empresa</t>
  </si>
  <si>
    <t>Tipo</t>
  </si>
  <si>
    <t>Inscrição</t>
  </si>
  <si>
    <t>CPF: 130.349.196-62</t>
  </si>
  <si>
    <t>04/2025</t>
  </si>
  <si>
    <t>DAVID LOPES DOS SANTOS</t>
  </si>
  <si>
    <t>Pix</t>
  </si>
  <si>
    <t>130.349.196-62</t>
  </si>
  <si>
    <t>ADIANTAMENTO</t>
  </si>
  <si>
    <t>SERGIO LUCIO PEREIRA</t>
  </si>
  <si>
    <t>900100062766</t>
  </si>
  <si>
    <t>C.E.I.</t>
  </si>
  <si>
    <t>CPF: 915.591.976-68</t>
  </si>
  <si>
    <t>JESUSMAR MELQUIADES DA CRUZ</t>
  </si>
  <si>
    <t>915.591.976-68</t>
  </si>
  <si>
    <t>CPF: 427.513.576-87</t>
  </si>
  <si>
    <t>JOSE GERALDO LONGUINHO</t>
  </si>
  <si>
    <t>427.513.576-87</t>
  </si>
  <si>
    <t>CPF: 152.396.186-40</t>
  </si>
  <si>
    <t>MARCIO DAVID SANTOS VIEIRA</t>
  </si>
  <si>
    <t>152.396.186-40</t>
  </si>
  <si>
    <t>CPF: 166.390.916-40</t>
  </si>
  <si>
    <t>MARLON DANIEL VIEIRA SILVEIRA</t>
  </si>
  <si>
    <t>166.390.916-40</t>
  </si>
  <si>
    <t>Celular: 31982303863</t>
  </si>
  <si>
    <t>VITOR MARCOS QUEIROZ DOS SANTOS</t>
  </si>
  <si>
    <t>151.316.926-28</t>
  </si>
  <si>
    <t>Celular: 31988517261</t>
  </si>
  <si>
    <t>DAVID ROMUALDO DE SOUZA</t>
  </si>
  <si>
    <t>103.475.026-79</t>
  </si>
  <si>
    <t>RONALDO ROLIM DE OLIVEIRA</t>
  </si>
  <si>
    <t>900123716167</t>
  </si>
  <si>
    <t>CPF: 074.507.116-30</t>
  </si>
  <si>
    <t>DOUGLAS JOSE DA SILVA</t>
  </si>
  <si>
    <t>074.507.116-30</t>
  </si>
  <si>
    <t>Celular: 31996613200</t>
  </si>
  <si>
    <t>ELENALTO ANTONIO DE ASSIS</t>
  </si>
  <si>
    <t>851.161.066-91</t>
  </si>
  <si>
    <t>CPF: 067.011.636-02</t>
  </si>
  <si>
    <t>HELIO ROMUALDO DOS ANJOS</t>
  </si>
  <si>
    <t>067.011.636-02</t>
  </si>
  <si>
    <t>CPF: 609.174.406-25</t>
  </si>
  <si>
    <t>JOSE ANGELO FERREIRA</t>
  </si>
  <si>
    <t>609.174.406-25</t>
  </si>
  <si>
    <t>Celular: 31992472093</t>
  </si>
  <si>
    <t>SEBASTIAO DUARTE LOPES</t>
  </si>
  <si>
    <t>997.033.946-04</t>
  </si>
  <si>
    <t>CPF: 057.529.476-00</t>
  </si>
  <si>
    <t>EVALDO ALVES DE SOUZA</t>
  </si>
  <si>
    <t>057.529.476-00</t>
  </si>
  <si>
    <t>EDIGAR BATISTA FERREIRA</t>
  </si>
  <si>
    <t>900160900861</t>
  </si>
  <si>
    <t>CPF: 075.720.336-10</t>
  </si>
  <si>
    <t>JOSIMAR PEREIRA DE MOURA</t>
  </si>
  <si>
    <t>075.720.336-10</t>
  </si>
  <si>
    <t>Celular: 31997619140</t>
  </si>
  <si>
    <t>NILSON FERREIRA DE SOUZA</t>
  </si>
  <si>
    <t>680.351.366-15</t>
  </si>
  <si>
    <t>CPF: 084.702.105-05</t>
  </si>
  <si>
    <t>VITOR ANDRADE DA SILVA</t>
  </si>
  <si>
    <t>084.702.105-05</t>
  </si>
  <si>
    <t>CPF: 138.894.456-16</t>
  </si>
  <si>
    <t>WELIO DE FRANCA DA SILVA</t>
  </si>
  <si>
    <t>138.894.456-16</t>
  </si>
  <si>
    <t>CPF: 142.645.826-60</t>
  </si>
  <si>
    <t>WESLEY JOSE DA SILVA</t>
  </si>
  <si>
    <t>142.645.826-60</t>
  </si>
  <si>
    <t>CPF: 031.201.535-67</t>
  </si>
  <si>
    <t>ADEILTON ALVES DA CONCEICAO</t>
  </si>
  <si>
    <t>031.201.535-67</t>
  </si>
  <si>
    <t>GILMAR ALMEIDA PORTUGAL</t>
  </si>
  <si>
    <t>900189186263</t>
  </si>
  <si>
    <t>CPF: 167.009.556-88</t>
  </si>
  <si>
    <t>ADRIEN FELIPE NERES RODRIGUES</t>
  </si>
  <si>
    <t>167.009.556-88</t>
  </si>
  <si>
    <t>CPF: 542.282.556-04</t>
  </si>
  <si>
    <t>ANTONIO TRINDADE FERNANDES</t>
  </si>
  <si>
    <t>542.282.556-04</t>
  </si>
  <si>
    <t>Celular: 31992969989</t>
  </si>
  <si>
    <t>DORGIVAL PORTACIO DOS SANTOS</t>
  </si>
  <si>
    <t>846.553.642-20</t>
  </si>
  <si>
    <t>Celular: 31992993651</t>
  </si>
  <si>
    <t>JOAO CARLOS DOS SANTOS BARBOSA</t>
  </si>
  <si>
    <t>053.180.386-46</t>
  </si>
  <si>
    <t>CPF: 009.779.647-60</t>
  </si>
  <si>
    <t>JOSE DO CARMO ROSA</t>
  </si>
  <si>
    <t>009.779.647-60</t>
  </si>
  <si>
    <t>CPF: 660.161.186-72</t>
  </si>
  <si>
    <t>MARCO ANTONIO DE OLIVEIRA</t>
  </si>
  <si>
    <t>660.161.186-72</t>
  </si>
  <si>
    <t>CPF: 122.353.036-17</t>
  </si>
  <si>
    <t>MARCOS VINICIUS BISPO CORREIA</t>
  </si>
  <si>
    <t>122.353.036-17</t>
  </si>
  <si>
    <t>CPF: 167.009.146-55</t>
  </si>
  <si>
    <t>MATEUS HENRIQUE RODRIGUES</t>
  </si>
  <si>
    <t>167.009.146-55</t>
  </si>
  <si>
    <t>CPF: 032.137.136-43</t>
  </si>
  <si>
    <t>OSMAR GERALDO DA SILVA</t>
  </si>
  <si>
    <t>032.137.136-43</t>
  </si>
  <si>
    <t>CPF: 040.832.786-33</t>
  </si>
  <si>
    <t>RONEY GIL NUNES</t>
  </si>
  <si>
    <t>040.832.786-33</t>
  </si>
  <si>
    <t>104</t>
  </si>
  <si>
    <t>Crédito CC</t>
  </si>
  <si>
    <t>ADAILSON SILVA NOVAIS</t>
  </si>
  <si>
    <t>1926</t>
  </si>
  <si>
    <t/>
  </si>
  <si>
    <t>5</t>
  </si>
  <si>
    <t>CAIXA ECONÔMICA FEDERAL</t>
  </si>
  <si>
    <t>034.735.096-80</t>
  </si>
  <si>
    <t>50939</t>
  </si>
  <si>
    <t>Conta Corrente</t>
  </si>
  <si>
    <t>Celular: 31985800124</t>
  </si>
  <si>
    <t>ADILSON LEITE DA COSTA</t>
  </si>
  <si>
    <t>936.490.706-00</t>
  </si>
  <si>
    <t>RHAUFED RODRIGUES DOS SANTOS</t>
  </si>
  <si>
    <t>900196036064</t>
  </si>
  <si>
    <t>CPF: 117.767.786-50</t>
  </si>
  <si>
    <t>BRENO DE SELES FERREIRA</t>
  </si>
  <si>
    <t>117.767.786-50</t>
  </si>
  <si>
    <t>CPF: 031.244.396-00</t>
  </si>
  <si>
    <t>GERALDO ANTONIO DE SOUZA</t>
  </si>
  <si>
    <t>031.244.396-00</t>
  </si>
  <si>
    <t>CPF: 105.261.436-14</t>
  </si>
  <si>
    <t>JEAN ALESI DA SILVA</t>
  </si>
  <si>
    <t>105.261.436-14</t>
  </si>
  <si>
    <t>CPF: 064.935.736-10</t>
  </si>
  <si>
    <t>RICARDO MARCELINO SOBRINHO</t>
  </si>
  <si>
    <t>064.935.736-10</t>
  </si>
  <si>
    <t>Celular: 33999182905</t>
  </si>
  <si>
    <t>WESLEY RODRIGUES SANTOS</t>
  </si>
  <si>
    <t>704.280.516-00</t>
  </si>
  <si>
    <t>CPF: 094.964.616-46</t>
  </si>
  <si>
    <t>BRUNO ALESSAN DE OLIVEIRA CANDIDO</t>
  </si>
  <si>
    <t>094.964.616-46</t>
  </si>
  <si>
    <t>900201380263</t>
  </si>
  <si>
    <t>Celular: 31996261776</t>
  </si>
  <si>
    <t>EDNEY DA SILVA SANTOS</t>
  </si>
  <si>
    <t>632.680.606-25</t>
  </si>
  <si>
    <t>CPF: 156.958.726-42</t>
  </si>
  <si>
    <t>ENILSON HENRIQUE DE OLIVEIRA</t>
  </si>
  <si>
    <t>156.958.726-42</t>
  </si>
  <si>
    <t>CPF: 020.866.965-58</t>
  </si>
  <si>
    <t>GILVAN ALVES SILVA</t>
  </si>
  <si>
    <t>020.866.965-58</t>
  </si>
  <si>
    <t>Celular: 31986367059</t>
  </si>
  <si>
    <t>JOSE DE OLIVEIRA JUNIOR</t>
  </si>
  <si>
    <t>919.419.976-00</t>
  </si>
  <si>
    <t>CPF: 092.507.366-06</t>
  </si>
  <si>
    <t>KENDIS GONCALVES DE MORAES</t>
  </si>
  <si>
    <t>092.507.366-06</t>
  </si>
  <si>
    <t>Celular: 31985907369</t>
  </si>
  <si>
    <t>MARCOS COSTA SANTOS</t>
  </si>
  <si>
    <t>124.099.986-07</t>
  </si>
  <si>
    <t>Celular: 31999741371</t>
  </si>
  <si>
    <t>SILVIO CEZAR BOLELE DA SILVA</t>
  </si>
  <si>
    <t>748.794.131-00</t>
  </si>
  <si>
    <t>E-mail: uostons12@gmail.com</t>
  </si>
  <si>
    <t>UOSTON SANTOS COSTA</t>
  </si>
  <si>
    <t>135.276.606-07</t>
  </si>
  <si>
    <t>CPF: 062.403.686-36</t>
  </si>
  <si>
    <t>VANDER LUCIO JESUS DA SILVA</t>
  </si>
  <si>
    <t>062.403.686-36</t>
  </si>
  <si>
    <t>341</t>
  </si>
  <si>
    <t>PAULO CESIO DA SILVA</t>
  </si>
  <si>
    <t>6505</t>
  </si>
  <si>
    <t>3</t>
  </si>
  <si>
    <t>ITAÚ</t>
  </si>
  <si>
    <t>426.197.346-49</t>
  </si>
  <si>
    <t>81456</t>
  </si>
  <si>
    <t>Conta Salário</t>
  </si>
  <si>
    <t>CPF: 371.349.496-72</t>
  </si>
  <si>
    <t>ALEIR FERREIRA DE AZEVEDO</t>
  </si>
  <si>
    <t>371.349.496-72</t>
  </si>
  <si>
    <t>EDUARDO MORENO MARQUES</t>
  </si>
  <si>
    <t>900207889664</t>
  </si>
  <si>
    <t>CPF: 101.990.696-03</t>
  </si>
  <si>
    <t>ELVIS PEREIRA DA SILVA</t>
  </si>
  <si>
    <t>101.990.696-03</t>
  </si>
  <si>
    <t>CPF: 140.201.566-62</t>
  </si>
  <si>
    <t>WELINGTON GOMES PAIVA</t>
  </si>
  <si>
    <t>140.201.566-62</t>
  </si>
  <si>
    <t>2</t>
  </si>
  <si>
    <t>DIOSAGNES DE SOUSA ARAUJO</t>
  </si>
  <si>
    <t>0081</t>
  </si>
  <si>
    <t>0</t>
  </si>
  <si>
    <t>CAIXA ECONOMICA FEDERAL</t>
  </si>
  <si>
    <t>945.123.612-00</t>
  </si>
  <si>
    <t>74413048</t>
  </si>
  <si>
    <t>Celular: 31982618378</t>
  </si>
  <si>
    <t>ANTONIO DUTRA DE FREITAS</t>
  </si>
  <si>
    <t>003.544.326-05</t>
  </si>
  <si>
    <t>CLEVER LUIZ SALVADOR</t>
  </si>
  <si>
    <t>900205510361</t>
  </si>
  <si>
    <t>CPF: 075.738.766-70</t>
  </si>
  <si>
    <t>BRUNO JUNIO DA SILVA</t>
  </si>
  <si>
    <t>075.738.766-70</t>
  </si>
  <si>
    <t>Celular: 31999187222</t>
  </si>
  <si>
    <t>BRUNO RODRIGUES DOS SANTOS</t>
  </si>
  <si>
    <t>130.806.656-27</t>
  </si>
  <si>
    <t>CPF: 072.490.316-00</t>
  </si>
  <si>
    <t>EDER PEREIRA DA SILVA</t>
  </si>
  <si>
    <t>072.490.316-00</t>
  </si>
  <si>
    <t>CPF: 757.469.803-15</t>
  </si>
  <si>
    <t>FRANCISCO REGO DA SILVA</t>
  </si>
  <si>
    <t>757.469.803-15</t>
  </si>
  <si>
    <t>CPF: 147.580.636-13</t>
  </si>
  <si>
    <t>IZAEL BISPO SILVA OLIVEIRA</t>
  </si>
  <si>
    <t>147.580.636-13</t>
  </si>
  <si>
    <t>CPF: 019.800.986-03</t>
  </si>
  <si>
    <t>LUCAS CATALUNHA DA SILVA</t>
  </si>
  <si>
    <t>019.800.986-03</t>
  </si>
  <si>
    <t>Celular: 31971706400</t>
  </si>
  <si>
    <t>ROBERVAL PORTACIO DOS SANTOS</t>
  </si>
  <si>
    <t>850.868.943-87</t>
  </si>
  <si>
    <t>DOMINGOS DA SILVA LIMA</t>
  </si>
  <si>
    <t>0892</t>
  </si>
  <si>
    <t>1</t>
  </si>
  <si>
    <t>879.421.196-53</t>
  </si>
  <si>
    <t>00113057</t>
  </si>
  <si>
    <t>CPF: 036.120.836-78</t>
  </si>
  <si>
    <t>GILSON LEITE DA COSTA</t>
  </si>
  <si>
    <t>036.120.836-78</t>
  </si>
  <si>
    <t>JOVERPI LOCADORA E CONSTRUTORA DE IMOVEIS LTDA</t>
  </si>
  <si>
    <t>21.123.021/0001-74</t>
  </si>
  <si>
    <t>C.N.P.J.</t>
  </si>
  <si>
    <t>Celular: 31988845356</t>
  </si>
  <si>
    <t>ISNALDO GONCALVES DE SOUZA</t>
  </si>
  <si>
    <t>039.070.636-19</t>
  </si>
  <si>
    <t>CPF: 932.616.166-87</t>
  </si>
  <si>
    <t>JOSE CARLOS DOS REIS</t>
  </si>
  <si>
    <t>932.616.166-87</t>
  </si>
  <si>
    <t>CPF: 107.926.396-93</t>
  </si>
  <si>
    <t>LEANDRO ALMEIDA LOPES</t>
  </si>
  <si>
    <t>107.926.396-93</t>
  </si>
  <si>
    <t>CPF: 981.967.587-15</t>
  </si>
  <si>
    <t>MOISES ROSA DIAS</t>
  </si>
  <si>
    <t>981.967.587-15</t>
  </si>
  <si>
    <t>Celular: 38997371226</t>
  </si>
  <si>
    <t>VITOR GABRIEL SILVA DE OLIVEIRA</t>
  </si>
  <si>
    <t>187.648.736-41</t>
  </si>
  <si>
    <t>CPF: 034.352.976-97</t>
  </si>
  <si>
    <t>ALEXSANDRO VENANCIO DA SILVA</t>
  </si>
  <si>
    <t>034.352.976-97</t>
  </si>
  <si>
    <t>ANA AUGUSTA PIRES COUTINHO</t>
  </si>
  <si>
    <t>900226157966</t>
  </si>
  <si>
    <t>Celular: 31995062139</t>
  </si>
  <si>
    <t>CRISTOFER BARBOSA ROSA</t>
  </si>
  <si>
    <t>018.657.796-60</t>
  </si>
  <si>
    <t>GERALDO ROSA JUNIOR</t>
  </si>
  <si>
    <t>1422</t>
  </si>
  <si>
    <t>4</t>
  </si>
  <si>
    <t>843.865.176-34</t>
  </si>
  <si>
    <t>00829287046</t>
  </si>
  <si>
    <t>Nome_Empregado</t>
  </si>
  <si>
    <t>Cliente</t>
  </si>
  <si>
    <t>Dados_Bancarios</t>
  </si>
  <si>
    <t>Valor_Líquido</t>
  </si>
  <si>
    <t>JOSÉ PAULO DE SOUZA PEIXE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</si>
</sst>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b/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2" borderId="0" xfId="0" applyNumberFormat="1" applyFont="1" applyFill="1" applyAlignment="1">
      <alignment horizontal="center" vertical="top" wrapText="1"/>
    </xf>
    <xf numFmtId="49" fontId="1" fillId="2" borderId="0" xfId="0" applyNumberFormat="1" applyFont="1" applyFill="1" applyAlignment="1">
      <alignment horizontal="left" vertical="top" wrapText="1"/>
    </xf>
    <xf numFmtId="49" fontId="1" fillId="2" borderId="0" xfId="0" applyNumberFormat="1" applyFont="1" applyFill="1" applyAlignment="1">
      <alignment horizontal="right" vertical="top" wrapText="1"/>
    </xf>
    <xf numFmtId="49" fontId="2" fillId="0" borderId="0" xfId="0" applyNumberFormat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49" fontId="2" fillId="2" borderId="0" xfId="0" applyNumberFormat="1" applyFont="1" applyFill="1" applyAlignment="1">
      <alignment horizontal="center" vertical="top" wrapText="1"/>
    </xf>
    <xf numFmtId="14" fontId="2" fillId="2" borderId="0" xfId="0" applyNumberFormat="1" applyFont="1" applyFill="1" applyAlignment="1">
      <alignment horizontal="center" vertical="top"/>
    </xf>
    <xf numFmtId="49" fontId="2" fillId="2" borderId="0" xfId="0" applyNumberFormat="1" applyFont="1" applyFill="1" applyAlignment="1">
      <alignment horizontal="center" vertical="top"/>
    </xf>
    <xf numFmtId="4" fontId="2" fillId="2" borderId="0" xfId="0" applyNumberFormat="1" applyFont="1" applyFill="1" applyAlignment="1">
      <alignment horizontal="right" vertical="top"/>
    </xf>
    <xf numFmtId="49" fontId="2" fillId="2" borderId="0" xfId="0" applyNumberFormat="1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0" fontId="3" fillId="0" borderId="0" xfId="0" applyFont="1"/>
    <xf numFmtId="49" fontId="1" fillId="3" borderId="0" xfId="0" applyNumberFormat="1" applyFont="1" applyFill="1" applyAlignment="1">
      <alignment horizontal="left" vertical="top" wrapText="1"/>
    </xf>
    <xf numFmtId="49" fontId="4" fillId="3" borderId="0" xfId="0" applyNumberFormat="1" applyFont="1" applyFill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9"/>
  <sheetViews>
    <sheetView showGridLines="0" tabSelected="1" workbookViewId="0"/>
  </sheetViews>
  <sheetFormatPr defaultRowHeight="12.75" x14ac:dyDescent="0.2"/>
  <cols>
    <col min="1" max="1" width="41.5703125" customWidth="1"/>
    <col min="2" max="2" width="8.5703125" customWidth="1"/>
    <col min="3" max="3" width="8.7109375" customWidth="1"/>
    <col min="4" max="4" width="16.42578125" customWidth="1"/>
    <col min="5" max="5" width="13.42578125" customWidth="1"/>
    <col min="6" max="6" width="13.5703125" customWidth="1"/>
    <col min="7" max="7" width="14" customWidth="1"/>
    <col min="8" max="8" width="7.28515625" customWidth="1"/>
    <col min="9" max="9" width="38.140625" customWidth="1"/>
    <col min="10" max="10" width="16.140625" customWidth="1"/>
    <col min="11" max="11" width="16" customWidth="1"/>
    <col min="12" max="12" width="17.85546875" customWidth="1"/>
    <col min="14" max="14" width="8.5703125" customWidth="1"/>
    <col min="15" max="15" width="7.42578125" customWidth="1"/>
    <col min="16" max="16" width="14.85546875" customWidth="1"/>
    <col min="17" max="17" width="18.5703125" customWidth="1"/>
    <col min="18" max="18" width="8.85546875" customWidth="1"/>
    <col min="19" max="19" width="13.5703125" customWidth="1"/>
    <col min="20" max="20" width="36.85546875" bestFit="1" customWidth="1"/>
  </cols>
  <sheetData>
    <row r="1" spans="1:20" ht="15" customHeight="1" x14ac:dyDescent="0.2">
      <c r="A1" s="15" t="s">
        <v>271</v>
      </c>
      <c r="B1" s="1" t="s">
        <v>15</v>
      </c>
      <c r="C1" s="2" t="s">
        <v>17</v>
      </c>
      <c r="D1" s="2" t="s">
        <v>18</v>
      </c>
      <c r="E1" s="1" t="s">
        <v>13</v>
      </c>
      <c r="F1" s="1" t="s">
        <v>1</v>
      </c>
      <c r="G1" s="2" t="s">
        <v>14</v>
      </c>
      <c r="H1" s="1" t="s">
        <v>0</v>
      </c>
      <c r="I1" s="15" t="s">
        <v>270</v>
      </c>
      <c r="J1" s="1" t="s">
        <v>11</v>
      </c>
      <c r="K1" s="2" t="s">
        <v>4</v>
      </c>
      <c r="L1" s="2" t="s">
        <v>5</v>
      </c>
      <c r="M1" s="1" t="s">
        <v>6</v>
      </c>
      <c r="N1" s="1" t="s">
        <v>7</v>
      </c>
      <c r="O1" s="1" t="s">
        <v>8</v>
      </c>
      <c r="P1" s="2" t="s">
        <v>9</v>
      </c>
      <c r="Q1" s="2" t="s">
        <v>12</v>
      </c>
      <c r="R1" s="1" t="s">
        <v>10</v>
      </c>
      <c r="S1" s="15" t="s">
        <v>273</v>
      </c>
      <c r="T1" s="16" t="s">
        <v>272</v>
      </c>
    </row>
    <row r="2" spans="1:20" ht="12.6" customHeight="1" x14ac:dyDescent="0.2">
      <c r="A2" s="13" t="s">
        <v>25</v>
      </c>
      <c r="B2" s="8">
        <v>18</v>
      </c>
      <c r="C2" s="11" t="s">
        <v>27</v>
      </c>
      <c r="D2" s="11" t="s">
        <v>26</v>
      </c>
      <c r="E2" s="6" t="s">
        <v>20</v>
      </c>
      <c r="F2" s="7">
        <v>45766</v>
      </c>
      <c r="G2" s="11" t="s">
        <v>24</v>
      </c>
      <c r="H2" s="8">
        <v>19</v>
      </c>
      <c r="I2" s="11" t="s">
        <v>21</v>
      </c>
      <c r="J2" s="12" t="s">
        <v>23</v>
      </c>
      <c r="K2" s="11" t="s">
        <v>22</v>
      </c>
      <c r="L2" s="17" t="s">
        <v>19</v>
      </c>
      <c r="M2" s="17"/>
      <c r="N2" s="17"/>
      <c r="O2" s="17"/>
      <c r="P2" s="17"/>
      <c r="Q2" s="17"/>
      <c r="R2" s="17"/>
      <c r="S2" s="9">
        <v>1537.62</v>
      </c>
      <c r="T2" s="14" t="str">
        <f>IF(K2="Pix",L2,IF(LEFT(P2,5)="CAIXA","CAIXA"&amp;" - "&amp;N2&amp;" - "&amp;Q2&amp;"-"&amp;R2&amp;" - "&amp;J2,P2&amp;" - "&amp;N2&amp;" - "&amp;Q2&amp;"-"&amp;R2&amp;" - "&amp;J2))</f>
        <v>CPF: 130.349.196-62</v>
      </c>
    </row>
    <row r="3" spans="1:20" ht="12.6" customHeight="1" x14ac:dyDescent="0.2">
      <c r="A3" s="13" t="s">
        <v>25</v>
      </c>
      <c r="B3" s="8">
        <v>18</v>
      </c>
      <c r="C3" s="11" t="s">
        <v>27</v>
      </c>
      <c r="D3" s="11" t="s">
        <v>26</v>
      </c>
      <c r="E3" s="6" t="s">
        <v>20</v>
      </c>
      <c r="F3" s="7">
        <v>45766</v>
      </c>
      <c r="G3" s="11" t="s">
        <v>24</v>
      </c>
      <c r="H3" s="8">
        <v>26</v>
      </c>
      <c r="I3" s="11" t="s">
        <v>29</v>
      </c>
      <c r="J3" s="12" t="s">
        <v>30</v>
      </c>
      <c r="K3" s="11" t="s">
        <v>22</v>
      </c>
      <c r="L3" s="17" t="s">
        <v>28</v>
      </c>
      <c r="M3" s="17"/>
      <c r="N3" s="17"/>
      <c r="O3" s="17"/>
      <c r="P3" s="17"/>
      <c r="Q3" s="17"/>
      <c r="R3" s="17"/>
      <c r="S3" s="9">
        <v>1156</v>
      </c>
      <c r="T3" s="14" t="str">
        <f t="shared" ref="T3:T66" si="0">IF(K3="Pix",L3,IF(LEFT(P3,5)="CAIXA","CAIXA"&amp;" - "&amp;N3&amp;" - "&amp;Q3&amp;"-"&amp;R3&amp;" - "&amp;J3,P3&amp;" - "&amp;N3&amp;" - "&amp;Q3&amp;"-"&amp;R3&amp;" - "&amp;J3))</f>
        <v>CPF: 915.591.976-68</v>
      </c>
    </row>
    <row r="4" spans="1:20" ht="12.6" customHeight="1" x14ac:dyDescent="0.2">
      <c r="A4" s="13" t="s">
        <v>25</v>
      </c>
      <c r="B4" s="8">
        <v>18</v>
      </c>
      <c r="C4" s="11" t="s">
        <v>27</v>
      </c>
      <c r="D4" s="11" t="s">
        <v>26</v>
      </c>
      <c r="E4" s="6" t="s">
        <v>20</v>
      </c>
      <c r="F4" s="7">
        <v>45766</v>
      </c>
      <c r="G4" s="11" t="s">
        <v>24</v>
      </c>
      <c r="H4" s="8">
        <v>14</v>
      </c>
      <c r="I4" s="11" t="s">
        <v>32</v>
      </c>
      <c r="J4" s="12" t="s">
        <v>33</v>
      </c>
      <c r="K4" s="11" t="s">
        <v>22</v>
      </c>
      <c r="L4" s="17" t="s">
        <v>31</v>
      </c>
      <c r="M4" s="17"/>
      <c r="N4" s="17"/>
      <c r="O4" s="17"/>
      <c r="P4" s="17"/>
      <c r="Q4" s="17"/>
      <c r="R4" s="17"/>
      <c r="S4" s="9">
        <v>1156</v>
      </c>
      <c r="T4" s="14" t="str">
        <f t="shared" si="0"/>
        <v>CPF: 427.513.576-87</v>
      </c>
    </row>
    <row r="5" spans="1:20" ht="12.6" customHeight="1" x14ac:dyDescent="0.2">
      <c r="A5" s="13" t="s">
        <v>25</v>
      </c>
      <c r="B5" s="8">
        <v>18</v>
      </c>
      <c r="C5" s="11" t="s">
        <v>27</v>
      </c>
      <c r="D5" s="11" t="s">
        <v>26</v>
      </c>
      <c r="E5" s="6" t="s">
        <v>20</v>
      </c>
      <c r="F5" s="7">
        <v>45766</v>
      </c>
      <c r="G5" s="11" t="s">
        <v>24</v>
      </c>
      <c r="H5" s="8">
        <v>24</v>
      </c>
      <c r="I5" s="11" t="s">
        <v>35</v>
      </c>
      <c r="J5" s="12" t="s">
        <v>36</v>
      </c>
      <c r="K5" s="11" t="s">
        <v>22</v>
      </c>
      <c r="L5" s="17" t="s">
        <v>34</v>
      </c>
      <c r="M5" s="17"/>
      <c r="N5" s="17"/>
      <c r="O5" s="17"/>
      <c r="P5" s="17"/>
      <c r="Q5" s="17"/>
      <c r="R5" s="17"/>
      <c r="S5" s="9">
        <v>854.8</v>
      </c>
      <c r="T5" s="14" t="str">
        <f t="shared" si="0"/>
        <v>CPF: 152.396.186-40</v>
      </c>
    </row>
    <row r="6" spans="1:20" ht="12.6" customHeight="1" x14ac:dyDescent="0.2">
      <c r="A6" s="13" t="s">
        <v>25</v>
      </c>
      <c r="B6" s="8">
        <v>18</v>
      </c>
      <c r="C6" s="11" t="s">
        <v>27</v>
      </c>
      <c r="D6" s="11" t="s">
        <v>26</v>
      </c>
      <c r="E6" s="6" t="s">
        <v>20</v>
      </c>
      <c r="F6" s="7">
        <v>45766</v>
      </c>
      <c r="G6" s="11" t="s">
        <v>24</v>
      </c>
      <c r="H6" s="8">
        <v>25</v>
      </c>
      <c r="I6" s="11" t="s">
        <v>38</v>
      </c>
      <c r="J6" s="12" t="s">
        <v>39</v>
      </c>
      <c r="K6" s="11" t="s">
        <v>22</v>
      </c>
      <c r="L6" s="17" t="s">
        <v>37</v>
      </c>
      <c r="M6" s="17"/>
      <c r="N6" s="17"/>
      <c r="O6" s="17"/>
      <c r="P6" s="17"/>
      <c r="Q6" s="17"/>
      <c r="R6" s="17"/>
      <c r="S6" s="9">
        <v>979.6</v>
      </c>
      <c r="T6" s="14" t="str">
        <f t="shared" si="0"/>
        <v>CPF: 166.390.916-40</v>
      </c>
    </row>
    <row r="7" spans="1:20" ht="12.6" customHeight="1" x14ac:dyDescent="0.2">
      <c r="A7" s="13" t="s">
        <v>25</v>
      </c>
      <c r="B7" s="8">
        <v>18</v>
      </c>
      <c r="C7" s="11" t="s">
        <v>27</v>
      </c>
      <c r="D7" s="11" t="s">
        <v>26</v>
      </c>
      <c r="E7" s="6" t="s">
        <v>20</v>
      </c>
      <c r="F7" s="7">
        <v>45766</v>
      </c>
      <c r="G7" s="11" t="s">
        <v>24</v>
      </c>
      <c r="H7" s="8">
        <v>27</v>
      </c>
      <c r="I7" s="11" t="s">
        <v>41</v>
      </c>
      <c r="J7" s="12" t="s">
        <v>42</v>
      </c>
      <c r="K7" s="11" t="s">
        <v>22</v>
      </c>
      <c r="L7" s="17" t="s">
        <v>40</v>
      </c>
      <c r="M7" s="17"/>
      <c r="N7" s="17"/>
      <c r="O7" s="17"/>
      <c r="P7" s="17"/>
      <c r="Q7" s="17"/>
      <c r="R7" s="17"/>
      <c r="S7" s="9">
        <v>1156</v>
      </c>
      <c r="T7" s="14" t="str">
        <f t="shared" si="0"/>
        <v>Celular: 31982303863</v>
      </c>
    </row>
    <row r="8" spans="1:20" ht="15" customHeight="1" x14ac:dyDescent="0.2">
      <c r="A8" s="2" t="s">
        <v>16</v>
      </c>
      <c r="B8" s="1" t="s">
        <v>15</v>
      </c>
      <c r="C8" s="2" t="s">
        <v>17</v>
      </c>
      <c r="D8" s="2" t="s">
        <v>18</v>
      </c>
      <c r="E8" s="1" t="s">
        <v>13</v>
      </c>
      <c r="F8" s="1" t="s">
        <v>1</v>
      </c>
      <c r="G8" s="2" t="s">
        <v>14</v>
      </c>
      <c r="H8" s="1" t="s">
        <v>0</v>
      </c>
      <c r="I8" s="2" t="s">
        <v>3</v>
      </c>
      <c r="J8" s="1" t="s">
        <v>11</v>
      </c>
      <c r="K8" s="2" t="s">
        <v>4</v>
      </c>
      <c r="L8" s="2" t="s">
        <v>5</v>
      </c>
      <c r="M8" s="1" t="s">
        <v>6</v>
      </c>
      <c r="N8" s="1" t="s">
        <v>7</v>
      </c>
      <c r="O8" s="1" t="s">
        <v>8</v>
      </c>
      <c r="P8" s="2" t="s">
        <v>9</v>
      </c>
      <c r="Q8" s="2" t="s">
        <v>12</v>
      </c>
      <c r="R8" s="1" t="s">
        <v>10</v>
      </c>
      <c r="S8" s="3" t="s">
        <v>2</v>
      </c>
      <c r="T8" s="14" t="str">
        <f t="shared" si="0"/>
        <v>Nome Banco - Agência - N° Conta-Dig. Conta - CPF</v>
      </c>
    </row>
    <row r="9" spans="1:20" ht="12.6" customHeight="1" x14ac:dyDescent="0.2">
      <c r="A9" s="13" t="s">
        <v>46</v>
      </c>
      <c r="B9" s="8">
        <v>25</v>
      </c>
      <c r="C9" s="11" t="s">
        <v>27</v>
      </c>
      <c r="D9" s="11" t="s">
        <v>47</v>
      </c>
      <c r="E9" s="6" t="s">
        <v>20</v>
      </c>
      <c r="F9" s="7">
        <v>45766</v>
      </c>
      <c r="G9" s="11" t="s">
        <v>24</v>
      </c>
      <c r="H9" s="8">
        <v>13</v>
      </c>
      <c r="I9" s="11" t="s">
        <v>44</v>
      </c>
      <c r="J9" s="12" t="s">
        <v>45</v>
      </c>
      <c r="K9" s="11" t="s">
        <v>22</v>
      </c>
      <c r="L9" s="17" t="s">
        <v>43</v>
      </c>
      <c r="M9" s="17"/>
      <c r="N9" s="17"/>
      <c r="O9" s="17"/>
      <c r="P9" s="17"/>
      <c r="Q9" s="17"/>
      <c r="R9" s="17"/>
      <c r="S9" s="9">
        <v>1156</v>
      </c>
      <c r="T9" s="14" t="str">
        <f t="shared" si="0"/>
        <v>Celular: 31988517261</v>
      </c>
    </row>
    <row r="10" spans="1:20" ht="12.6" customHeight="1" x14ac:dyDescent="0.2">
      <c r="A10" s="13" t="s">
        <v>46</v>
      </c>
      <c r="B10" s="8">
        <v>25</v>
      </c>
      <c r="C10" s="11" t="s">
        <v>27</v>
      </c>
      <c r="D10" s="11" t="s">
        <v>47</v>
      </c>
      <c r="E10" s="6" t="s">
        <v>20</v>
      </c>
      <c r="F10" s="7">
        <v>45766</v>
      </c>
      <c r="G10" s="11" t="s">
        <v>24</v>
      </c>
      <c r="H10" s="8">
        <v>21</v>
      </c>
      <c r="I10" s="11" t="s">
        <v>49</v>
      </c>
      <c r="J10" s="12" t="s">
        <v>50</v>
      </c>
      <c r="K10" s="11" t="s">
        <v>22</v>
      </c>
      <c r="L10" s="17" t="s">
        <v>48</v>
      </c>
      <c r="M10" s="17"/>
      <c r="N10" s="17"/>
      <c r="O10" s="17"/>
      <c r="P10" s="17"/>
      <c r="Q10" s="17"/>
      <c r="R10" s="17"/>
      <c r="S10" s="9">
        <v>1156</v>
      </c>
      <c r="T10" s="14" t="str">
        <f t="shared" si="0"/>
        <v>CPF: 074.507.116-30</v>
      </c>
    </row>
    <row r="11" spans="1:20" ht="12.6" customHeight="1" x14ac:dyDescent="0.2">
      <c r="A11" s="13" t="s">
        <v>46</v>
      </c>
      <c r="B11" s="8">
        <v>25</v>
      </c>
      <c r="C11" s="11" t="s">
        <v>27</v>
      </c>
      <c r="D11" s="11" t="s">
        <v>47</v>
      </c>
      <c r="E11" s="6" t="s">
        <v>20</v>
      </c>
      <c r="F11" s="7">
        <v>45766</v>
      </c>
      <c r="G11" s="11" t="s">
        <v>24</v>
      </c>
      <c r="H11" s="8">
        <v>6</v>
      </c>
      <c r="I11" s="11" t="s">
        <v>52</v>
      </c>
      <c r="J11" s="12" t="s">
        <v>53</v>
      </c>
      <c r="K11" s="11" t="s">
        <v>22</v>
      </c>
      <c r="L11" s="17" t="s">
        <v>51</v>
      </c>
      <c r="M11" s="17"/>
      <c r="N11" s="17"/>
      <c r="O11" s="17"/>
      <c r="P11" s="17"/>
      <c r="Q11" s="17"/>
      <c r="R11" s="17"/>
      <c r="S11" s="9">
        <v>1156</v>
      </c>
      <c r="T11" s="14" t="str">
        <f t="shared" si="0"/>
        <v>Celular: 31996613200</v>
      </c>
    </row>
    <row r="12" spans="1:20" ht="12.6" customHeight="1" x14ac:dyDescent="0.2">
      <c r="A12" s="13" t="s">
        <v>46</v>
      </c>
      <c r="B12" s="8">
        <v>25</v>
      </c>
      <c r="C12" s="11" t="s">
        <v>27</v>
      </c>
      <c r="D12" s="11" t="s">
        <v>47</v>
      </c>
      <c r="E12" s="6" t="s">
        <v>20</v>
      </c>
      <c r="F12" s="7">
        <v>45766</v>
      </c>
      <c r="G12" s="11" t="s">
        <v>24</v>
      </c>
      <c r="H12" s="8">
        <v>10</v>
      </c>
      <c r="I12" s="11" t="s">
        <v>55</v>
      </c>
      <c r="J12" s="12" t="s">
        <v>56</v>
      </c>
      <c r="K12" s="11" t="s">
        <v>22</v>
      </c>
      <c r="L12" s="17" t="s">
        <v>54</v>
      </c>
      <c r="M12" s="17"/>
      <c r="N12" s="17"/>
      <c r="O12" s="17"/>
      <c r="P12" s="17"/>
      <c r="Q12" s="17"/>
      <c r="R12" s="17"/>
      <c r="S12" s="9">
        <v>2196.6</v>
      </c>
      <c r="T12" s="14" t="str">
        <f t="shared" si="0"/>
        <v>CPF: 067.011.636-02</v>
      </c>
    </row>
    <row r="13" spans="1:20" ht="12.6" customHeight="1" x14ac:dyDescent="0.2">
      <c r="A13" s="13" t="s">
        <v>46</v>
      </c>
      <c r="B13" s="8">
        <v>25</v>
      </c>
      <c r="C13" s="11" t="s">
        <v>27</v>
      </c>
      <c r="D13" s="11" t="s">
        <v>47</v>
      </c>
      <c r="E13" s="6" t="s">
        <v>20</v>
      </c>
      <c r="F13" s="7">
        <v>45766</v>
      </c>
      <c r="G13" s="11" t="s">
        <v>24</v>
      </c>
      <c r="H13" s="8">
        <v>24</v>
      </c>
      <c r="I13" s="11" t="s">
        <v>58</v>
      </c>
      <c r="J13" s="12" t="s">
        <v>59</v>
      </c>
      <c r="K13" s="11" t="s">
        <v>22</v>
      </c>
      <c r="L13" s="17" t="s">
        <v>57</v>
      </c>
      <c r="M13" s="17"/>
      <c r="N13" s="17"/>
      <c r="O13" s="17"/>
      <c r="P13" s="17"/>
      <c r="Q13" s="17"/>
      <c r="R13" s="17"/>
      <c r="S13" s="9">
        <v>672.4</v>
      </c>
      <c r="T13" s="14" t="str">
        <f t="shared" si="0"/>
        <v>CPF: 609.174.406-25</v>
      </c>
    </row>
    <row r="14" spans="1:20" ht="12.6" customHeight="1" x14ac:dyDescent="0.2">
      <c r="A14" s="13" t="s">
        <v>46</v>
      </c>
      <c r="B14" s="8">
        <v>25</v>
      </c>
      <c r="C14" s="11" t="s">
        <v>27</v>
      </c>
      <c r="D14" s="11" t="s">
        <v>47</v>
      </c>
      <c r="E14" s="6" t="s">
        <v>20</v>
      </c>
      <c r="F14" s="7">
        <v>45766</v>
      </c>
      <c r="G14" s="11" t="s">
        <v>24</v>
      </c>
      <c r="H14" s="8">
        <v>9</v>
      </c>
      <c r="I14" s="11" t="s">
        <v>61</v>
      </c>
      <c r="J14" s="12" t="s">
        <v>62</v>
      </c>
      <c r="K14" s="11" t="s">
        <v>22</v>
      </c>
      <c r="L14" s="17" t="s">
        <v>60</v>
      </c>
      <c r="M14" s="17"/>
      <c r="N14" s="17"/>
      <c r="O14" s="17"/>
      <c r="P14" s="17"/>
      <c r="Q14" s="17"/>
      <c r="R14" s="17"/>
      <c r="S14" s="9">
        <v>854.8</v>
      </c>
      <c r="T14" s="14" t="str">
        <f t="shared" si="0"/>
        <v>Celular: 31992472093</v>
      </c>
    </row>
    <row r="15" spans="1:20" ht="15" customHeight="1" x14ac:dyDescent="0.2">
      <c r="A15" s="2" t="s">
        <v>16</v>
      </c>
      <c r="B15" s="1" t="s">
        <v>15</v>
      </c>
      <c r="C15" s="2" t="s">
        <v>17</v>
      </c>
      <c r="D15" s="2" t="s">
        <v>18</v>
      </c>
      <c r="E15" s="1" t="s">
        <v>13</v>
      </c>
      <c r="F15" s="1" t="s">
        <v>1</v>
      </c>
      <c r="G15" s="2" t="s">
        <v>14</v>
      </c>
      <c r="H15" s="1" t="s">
        <v>0</v>
      </c>
      <c r="I15" s="2" t="s">
        <v>3</v>
      </c>
      <c r="J15" s="1" t="s">
        <v>11</v>
      </c>
      <c r="K15" s="2" t="s">
        <v>4</v>
      </c>
      <c r="L15" s="2" t="s">
        <v>5</v>
      </c>
      <c r="M15" s="1" t="s">
        <v>6</v>
      </c>
      <c r="N15" s="1" t="s">
        <v>7</v>
      </c>
      <c r="O15" s="1" t="s">
        <v>8</v>
      </c>
      <c r="P15" s="2" t="s">
        <v>9</v>
      </c>
      <c r="Q15" s="2" t="s">
        <v>12</v>
      </c>
      <c r="R15" s="1" t="s">
        <v>10</v>
      </c>
      <c r="S15" s="3" t="s">
        <v>2</v>
      </c>
      <c r="T15" s="14" t="str">
        <f t="shared" si="0"/>
        <v>Nome Banco - Agência - N° Conta-Dig. Conta - CPF</v>
      </c>
    </row>
    <row r="16" spans="1:20" ht="12.6" customHeight="1" x14ac:dyDescent="0.2">
      <c r="A16" s="13" t="s">
        <v>66</v>
      </c>
      <c r="B16" s="8">
        <v>27</v>
      </c>
      <c r="C16" s="11" t="s">
        <v>27</v>
      </c>
      <c r="D16" s="11" t="s">
        <v>67</v>
      </c>
      <c r="E16" s="6" t="s">
        <v>20</v>
      </c>
      <c r="F16" s="7">
        <v>45766</v>
      </c>
      <c r="G16" s="11" t="s">
        <v>24</v>
      </c>
      <c r="H16" s="8">
        <v>3</v>
      </c>
      <c r="I16" s="11" t="s">
        <v>64</v>
      </c>
      <c r="J16" s="12" t="s">
        <v>65</v>
      </c>
      <c r="K16" s="11" t="s">
        <v>22</v>
      </c>
      <c r="L16" s="17" t="s">
        <v>63</v>
      </c>
      <c r="M16" s="17"/>
      <c r="N16" s="17"/>
      <c r="O16" s="17"/>
      <c r="P16" s="17"/>
      <c r="Q16" s="17"/>
      <c r="R16" s="17"/>
      <c r="S16" s="9">
        <v>1581.6</v>
      </c>
      <c r="T16" s="14" t="str">
        <f t="shared" si="0"/>
        <v>CPF: 057.529.476-00</v>
      </c>
    </row>
    <row r="17" spans="1:20" ht="12.6" customHeight="1" x14ac:dyDescent="0.2">
      <c r="A17" s="13" t="s">
        <v>66</v>
      </c>
      <c r="B17" s="8">
        <v>27</v>
      </c>
      <c r="C17" s="11" t="s">
        <v>27</v>
      </c>
      <c r="D17" s="11" t="s">
        <v>67</v>
      </c>
      <c r="E17" s="6" t="s">
        <v>20</v>
      </c>
      <c r="F17" s="7">
        <v>45766</v>
      </c>
      <c r="G17" s="11" t="s">
        <v>24</v>
      </c>
      <c r="H17" s="8">
        <v>6</v>
      </c>
      <c r="I17" s="11" t="s">
        <v>69</v>
      </c>
      <c r="J17" s="12" t="s">
        <v>70</v>
      </c>
      <c r="K17" s="11" t="s">
        <v>22</v>
      </c>
      <c r="L17" s="17" t="s">
        <v>68</v>
      </c>
      <c r="M17" s="17"/>
      <c r="N17" s="17"/>
      <c r="O17" s="17"/>
      <c r="P17" s="17"/>
      <c r="Q17" s="17"/>
      <c r="R17" s="17"/>
      <c r="S17" s="9">
        <v>1156</v>
      </c>
      <c r="T17" s="14" t="str">
        <f t="shared" si="0"/>
        <v>CPF: 075.720.336-10</v>
      </c>
    </row>
    <row r="18" spans="1:20" ht="12.6" customHeight="1" x14ac:dyDescent="0.2">
      <c r="A18" s="13" t="s">
        <v>66</v>
      </c>
      <c r="B18" s="8">
        <v>27</v>
      </c>
      <c r="C18" s="11" t="s">
        <v>27</v>
      </c>
      <c r="D18" s="11" t="s">
        <v>67</v>
      </c>
      <c r="E18" s="6" t="s">
        <v>20</v>
      </c>
      <c r="F18" s="7">
        <v>45766</v>
      </c>
      <c r="G18" s="11" t="s">
        <v>24</v>
      </c>
      <c r="H18" s="8">
        <v>16</v>
      </c>
      <c r="I18" s="11" t="s">
        <v>72</v>
      </c>
      <c r="J18" s="12" t="s">
        <v>73</v>
      </c>
      <c r="K18" s="11" t="s">
        <v>22</v>
      </c>
      <c r="L18" s="17" t="s">
        <v>71</v>
      </c>
      <c r="M18" s="17"/>
      <c r="N18" s="17"/>
      <c r="O18" s="17"/>
      <c r="P18" s="17"/>
      <c r="Q18" s="17"/>
      <c r="R18" s="17"/>
      <c r="S18" s="9">
        <v>1156</v>
      </c>
      <c r="T18" s="14" t="str">
        <f t="shared" si="0"/>
        <v>Celular: 31997619140</v>
      </c>
    </row>
    <row r="19" spans="1:20" ht="12.6" customHeight="1" x14ac:dyDescent="0.2">
      <c r="A19" s="13" t="s">
        <v>66</v>
      </c>
      <c r="B19" s="8">
        <v>27</v>
      </c>
      <c r="C19" s="11" t="s">
        <v>27</v>
      </c>
      <c r="D19" s="11" t="s">
        <v>67</v>
      </c>
      <c r="E19" s="6" t="s">
        <v>20</v>
      </c>
      <c r="F19" s="7">
        <v>45766</v>
      </c>
      <c r="G19" s="11" t="s">
        <v>24</v>
      </c>
      <c r="H19" s="8">
        <v>10</v>
      </c>
      <c r="I19" s="11" t="s">
        <v>75</v>
      </c>
      <c r="J19" s="12" t="s">
        <v>76</v>
      </c>
      <c r="K19" s="11" t="s">
        <v>22</v>
      </c>
      <c r="L19" s="17" t="s">
        <v>74</v>
      </c>
      <c r="M19" s="17"/>
      <c r="N19" s="17"/>
      <c r="O19" s="17"/>
      <c r="P19" s="17"/>
      <c r="Q19" s="17"/>
      <c r="R19" s="17"/>
      <c r="S19" s="9">
        <v>672.4</v>
      </c>
      <c r="T19" s="14" t="str">
        <f t="shared" si="0"/>
        <v>CPF: 084.702.105-05</v>
      </c>
    </row>
    <row r="20" spans="1:20" ht="12.6" customHeight="1" x14ac:dyDescent="0.2">
      <c r="A20" s="13" t="s">
        <v>66</v>
      </c>
      <c r="B20" s="8">
        <v>27</v>
      </c>
      <c r="C20" s="11" t="s">
        <v>27</v>
      </c>
      <c r="D20" s="11" t="s">
        <v>67</v>
      </c>
      <c r="E20" s="6" t="s">
        <v>20</v>
      </c>
      <c r="F20" s="7">
        <v>45766</v>
      </c>
      <c r="G20" s="11" t="s">
        <v>24</v>
      </c>
      <c r="H20" s="8">
        <v>13</v>
      </c>
      <c r="I20" s="11" t="s">
        <v>78</v>
      </c>
      <c r="J20" s="12" t="s">
        <v>79</v>
      </c>
      <c r="K20" s="11" t="s">
        <v>22</v>
      </c>
      <c r="L20" s="17" t="s">
        <v>77</v>
      </c>
      <c r="M20" s="17"/>
      <c r="N20" s="17"/>
      <c r="O20" s="17"/>
      <c r="P20" s="17"/>
      <c r="Q20" s="17"/>
      <c r="R20" s="17"/>
      <c r="S20" s="9">
        <v>854.8</v>
      </c>
      <c r="T20" s="14" t="str">
        <f t="shared" si="0"/>
        <v>CPF: 138.894.456-16</v>
      </c>
    </row>
    <row r="21" spans="1:20" ht="12.6" customHeight="1" x14ac:dyDescent="0.2">
      <c r="A21" s="13" t="s">
        <v>66</v>
      </c>
      <c r="B21" s="8">
        <v>27</v>
      </c>
      <c r="C21" s="11" t="s">
        <v>27</v>
      </c>
      <c r="D21" s="11" t="s">
        <v>67</v>
      </c>
      <c r="E21" s="6" t="s">
        <v>20</v>
      </c>
      <c r="F21" s="7">
        <v>45766</v>
      </c>
      <c r="G21" s="11" t="s">
        <v>24</v>
      </c>
      <c r="H21" s="8">
        <v>15</v>
      </c>
      <c r="I21" s="11" t="s">
        <v>81</v>
      </c>
      <c r="J21" s="12" t="s">
        <v>82</v>
      </c>
      <c r="K21" s="11" t="s">
        <v>22</v>
      </c>
      <c r="L21" s="17" t="s">
        <v>80</v>
      </c>
      <c r="M21" s="17"/>
      <c r="N21" s="17"/>
      <c r="O21" s="17"/>
      <c r="P21" s="17"/>
      <c r="Q21" s="17"/>
      <c r="R21" s="17"/>
      <c r="S21" s="9">
        <v>979.6</v>
      </c>
      <c r="T21" s="14" t="str">
        <f t="shared" si="0"/>
        <v>CPF: 142.645.826-60</v>
      </c>
    </row>
    <row r="22" spans="1:20" ht="15" customHeight="1" x14ac:dyDescent="0.2">
      <c r="A22" s="2" t="s">
        <v>16</v>
      </c>
      <c r="B22" s="1" t="s">
        <v>15</v>
      </c>
      <c r="C22" s="2" t="s">
        <v>17</v>
      </c>
      <c r="D22" s="2" t="s">
        <v>18</v>
      </c>
      <c r="E22" s="1" t="s">
        <v>13</v>
      </c>
      <c r="F22" s="1" t="s">
        <v>1</v>
      </c>
      <c r="G22" s="2" t="s">
        <v>14</v>
      </c>
      <c r="H22" s="1" t="s">
        <v>0</v>
      </c>
      <c r="I22" s="2" t="s">
        <v>3</v>
      </c>
      <c r="J22" s="1" t="s">
        <v>11</v>
      </c>
      <c r="K22" s="2" t="s">
        <v>4</v>
      </c>
      <c r="L22" s="2" t="s">
        <v>5</v>
      </c>
      <c r="M22" s="1" t="s">
        <v>6</v>
      </c>
      <c r="N22" s="1" t="s">
        <v>7</v>
      </c>
      <c r="O22" s="1" t="s">
        <v>8</v>
      </c>
      <c r="P22" s="2" t="s">
        <v>9</v>
      </c>
      <c r="Q22" s="2" t="s">
        <v>12</v>
      </c>
      <c r="R22" s="1" t="s">
        <v>10</v>
      </c>
      <c r="S22" s="3" t="s">
        <v>2</v>
      </c>
      <c r="T22" s="14" t="str">
        <f t="shared" si="0"/>
        <v>Nome Banco - Agência - N° Conta-Dig. Conta - CPF</v>
      </c>
    </row>
    <row r="23" spans="1:20" ht="12.6" customHeight="1" x14ac:dyDescent="0.2">
      <c r="A23" s="13" t="s">
        <v>86</v>
      </c>
      <c r="B23" s="8">
        <v>31</v>
      </c>
      <c r="C23" s="11" t="s">
        <v>27</v>
      </c>
      <c r="D23" s="11" t="s">
        <v>87</v>
      </c>
      <c r="E23" s="6" t="s">
        <v>20</v>
      </c>
      <c r="F23" s="7">
        <v>45766</v>
      </c>
      <c r="G23" s="11" t="s">
        <v>24</v>
      </c>
      <c r="H23" s="8">
        <v>12</v>
      </c>
      <c r="I23" s="11" t="s">
        <v>84</v>
      </c>
      <c r="J23" s="12" t="s">
        <v>85</v>
      </c>
      <c r="K23" s="11" t="s">
        <v>22</v>
      </c>
      <c r="L23" s="17" t="s">
        <v>83</v>
      </c>
      <c r="M23" s="17"/>
      <c r="N23" s="17"/>
      <c r="O23" s="17"/>
      <c r="P23" s="17"/>
      <c r="Q23" s="17"/>
      <c r="R23" s="17"/>
      <c r="S23" s="9">
        <v>1156</v>
      </c>
      <c r="T23" s="14" t="str">
        <f t="shared" si="0"/>
        <v>CPF: 031.201.535-67</v>
      </c>
    </row>
    <row r="24" spans="1:20" ht="12.6" customHeight="1" x14ac:dyDescent="0.2">
      <c r="A24" s="13" t="s">
        <v>86</v>
      </c>
      <c r="B24" s="8">
        <v>31</v>
      </c>
      <c r="C24" s="11" t="s">
        <v>27</v>
      </c>
      <c r="D24" s="11" t="s">
        <v>87</v>
      </c>
      <c r="E24" s="6" t="s">
        <v>20</v>
      </c>
      <c r="F24" s="7">
        <v>45766</v>
      </c>
      <c r="G24" s="11" t="s">
        <v>24</v>
      </c>
      <c r="H24" s="8">
        <v>11</v>
      </c>
      <c r="I24" s="11" t="s">
        <v>89</v>
      </c>
      <c r="J24" s="12" t="s">
        <v>90</v>
      </c>
      <c r="K24" s="11" t="s">
        <v>22</v>
      </c>
      <c r="L24" s="17" t="s">
        <v>88</v>
      </c>
      <c r="M24" s="17"/>
      <c r="N24" s="17"/>
      <c r="O24" s="17"/>
      <c r="P24" s="17"/>
      <c r="Q24" s="17"/>
      <c r="R24" s="17"/>
      <c r="S24" s="9">
        <v>672.4</v>
      </c>
      <c r="T24" s="14" t="str">
        <f t="shared" si="0"/>
        <v>CPF: 167.009.556-88</v>
      </c>
    </row>
    <row r="25" spans="1:20" ht="12.6" customHeight="1" x14ac:dyDescent="0.2">
      <c r="A25" s="13" t="s">
        <v>86</v>
      </c>
      <c r="B25" s="8">
        <v>31</v>
      </c>
      <c r="C25" s="11" t="s">
        <v>27</v>
      </c>
      <c r="D25" s="11" t="s">
        <v>87</v>
      </c>
      <c r="E25" s="6" t="s">
        <v>20</v>
      </c>
      <c r="F25" s="7">
        <v>45766</v>
      </c>
      <c r="G25" s="11" t="s">
        <v>24</v>
      </c>
      <c r="H25" s="8">
        <v>6</v>
      </c>
      <c r="I25" s="11" t="s">
        <v>92</v>
      </c>
      <c r="J25" s="12" t="s">
        <v>93</v>
      </c>
      <c r="K25" s="11" t="s">
        <v>22</v>
      </c>
      <c r="L25" s="17" t="s">
        <v>91</v>
      </c>
      <c r="M25" s="17"/>
      <c r="N25" s="17"/>
      <c r="O25" s="17"/>
      <c r="P25" s="17"/>
      <c r="Q25" s="17"/>
      <c r="R25" s="17"/>
      <c r="S25" s="9">
        <v>1156</v>
      </c>
      <c r="T25" s="14" t="str">
        <f t="shared" si="0"/>
        <v>CPF: 542.282.556-04</v>
      </c>
    </row>
    <row r="26" spans="1:20" ht="12.6" customHeight="1" x14ac:dyDescent="0.2">
      <c r="A26" s="13" t="s">
        <v>86</v>
      </c>
      <c r="B26" s="8">
        <v>31</v>
      </c>
      <c r="C26" s="11" t="s">
        <v>27</v>
      </c>
      <c r="D26" s="11" t="s">
        <v>87</v>
      </c>
      <c r="E26" s="6" t="s">
        <v>20</v>
      </c>
      <c r="F26" s="7">
        <v>45766</v>
      </c>
      <c r="G26" s="11" t="s">
        <v>24</v>
      </c>
      <c r="H26" s="8">
        <v>13</v>
      </c>
      <c r="I26" s="11" t="s">
        <v>95</v>
      </c>
      <c r="J26" s="12" t="s">
        <v>96</v>
      </c>
      <c r="K26" s="11" t="s">
        <v>22</v>
      </c>
      <c r="L26" s="17" t="s">
        <v>94</v>
      </c>
      <c r="M26" s="17"/>
      <c r="N26" s="17"/>
      <c r="O26" s="17"/>
      <c r="P26" s="17"/>
      <c r="Q26" s="17"/>
      <c r="R26" s="17"/>
      <c r="S26" s="9">
        <v>1156</v>
      </c>
      <c r="T26" s="14" t="str">
        <f t="shared" si="0"/>
        <v>Celular: 31992969989</v>
      </c>
    </row>
    <row r="27" spans="1:20" ht="12.6" customHeight="1" x14ac:dyDescent="0.2">
      <c r="A27" s="13" t="s">
        <v>86</v>
      </c>
      <c r="B27" s="8">
        <v>31</v>
      </c>
      <c r="C27" s="11" t="s">
        <v>27</v>
      </c>
      <c r="D27" s="11" t="s">
        <v>87</v>
      </c>
      <c r="E27" s="6" t="s">
        <v>20</v>
      </c>
      <c r="F27" s="7">
        <v>45766</v>
      </c>
      <c r="G27" s="11" t="s">
        <v>24</v>
      </c>
      <c r="H27" s="8">
        <v>8</v>
      </c>
      <c r="I27" s="11" t="s">
        <v>98</v>
      </c>
      <c r="J27" s="12" t="s">
        <v>99</v>
      </c>
      <c r="K27" s="11" t="s">
        <v>22</v>
      </c>
      <c r="L27" s="17" t="s">
        <v>97</v>
      </c>
      <c r="M27" s="17"/>
      <c r="N27" s="17"/>
      <c r="O27" s="17"/>
      <c r="P27" s="17"/>
      <c r="Q27" s="17"/>
      <c r="R27" s="17"/>
      <c r="S27" s="9">
        <v>1156</v>
      </c>
      <c r="T27" s="14" t="str">
        <f t="shared" si="0"/>
        <v>Celular: 31992993651</v>
      </c>
    </row>
    <row r="28" spans="1:20" ht="12.6" customHeight="1" x14ac:dyDescent="0.2">
      <c r="A28" s="13" t="s">
        <v>86</v>
      </c>
      <c r="B28" s="8">
        <v>31</v>
      </c>
      <c r="C28" s="11" t="s">
        <v>27</v>
      </c>
      <c r="D28" s="11" t="s">
        <v>87</v>
      </c>
      <c r="E28" s="6" t="s">
        <v>20</v>
      </c>
      <c r="F28" s="7">
        <v>45766</v>
      </c>
      <c r="G28" s="11" t="s">
        <v>24</v>
      </c>
      <c r="H28" s="8">
        <v>3</v>
      </c>
      <c r="I28" s="11" t="s">
        <v>101</v>
      </c>
      <c r="J28" s="12" t="s">
        <v>102</v>
      </c>
      <c r="K28" s="11" t="s">
        <v>22</v>
      </c>
      <c r="L28" s="17" t="s">
        <v>100</v>
      </c>
      <c r="M28" s="17"/>
      <c r="N28" s="17"/>
      <c r="O28" s="17"/>
      <c r="P28" s="17"/>
      <c r="Q28" s="17"/>
      <c r="R28" s="17"/>
      <c r="S28" s="9">
        <v>672.4</v>
      </c>
      <c r="T28" s="14" t="str">
        <f t="shared" si="0"/>
        <v>CPF: 009.779.647-60</v>
      </c>
    </row>
    <row r="29" spans="1:20" ht="12.6" customHeight="1" x14ac:dyDescent="0.2">
      <c r="A29" s="13" t="s">
        <v>86</v>
      </c>
      <c r="B29" s="8">
        <v>31</v>
      </c>
      <c r="C29" s="11" t="s">
        <v>27</v>
      </c>
      <c r="D29" s="11" t="s">
        <v>87</v>
      </c>
      <c r="E29" s="6" t="s">
        <v>20</v>
      </c>
      <c r="F29" s="7">
        <v>45766</v>
      </c>
      <c r="G29" s="11" t="s">
        <v>24</v>
      </c>
      <c r="H29" s="8">
        <v>1</v>
      </c>
      <c r="I29" s="11" t="s">
        <v>104</v>
      </c>
      <c r="J29" s="12" t="s">
        <v>105</v>
      </c>
      <c r="K29" s="11" t="s">
        <v>22</v>
      </c>
      <c r="L29" s="17" t="s">
        <v>103</v>
      </c>
      <c r="M29" s="17"/>
      <c r="N29" s="17"/>
      <c r="O29" s="17"/>
      <c r="P29" s="17"/>
      <c r="Q29" s="17"/>
      <c r="R29" s="17"/>
      <c r="S29" s="9">
        <v>2510.4</v>
      </c>
      <c r="T29" s="14" t="str">
        <f t="shared" si="0"/>
        <v>CPF: 660.161.186-72</v>
      </c>
    </row>
    <row r="30" spans="1:20" ht="12.6" customHeight="1" x14ac:dyDescent="0.2">
      <c r="A30" s="13" t="s">
        <v>86</v>
      </c>
      <c r="B30" s="8">
        <v>31</v>
      </c>
      <c r="C30" s="11" t="s">
        <v>27</v>
      </c>
      <c r="D30" s="11" t="s">
        <v>87</v>
      </c>
      <c r="E30" s="6" t="s">
        <v>20</v>
      </c>
      <c r="F30" s="7">
        <v>45766</v>
      </c>
      <c r="G30" s="11" t="s">
        <v>24</v>
      </c>
      <c r="H30" s="8">
        <v>7</v>
      </c>
      <c r="I30" s="11" t="s">
        <v>107</v>
      </c>
      <c r="J30" s="12" t="s">
        <v>108</v>
      </c>
      <c r="K30" s="11" t="s">
        <v>22</v>
      </c>
      <c r="L30" s="17" t="s">
        <v>106</v>
      </c>
      <c r="M30" s="17"/>
      <c r="N30" s="17"/>
      <c r="O30" s="17"/>
      <c r="P30" s="17"/>
      <c r="Q30" s="17"/>
      <c r="R30" s="17"/>
      <c r="S30" s="9">
        <v>1156</v>
      </c>
      <c r="T30" s="14" t="str">
        <f t="shared" si="0"/>
        <v>CPF: 122.353.036-17</v>
      </c>
    </row>
    <row r="31" spans="1:20" ht="12.6" customHeight="1" x14ac:dyDescent="0.2">
      <c r="A31" s="13" t="s">
        <v>86</v>
      </c>
      <c r="B31" s="8">
        <v>31</v>
      </c>
      <c r="C31" s="11" t="s">
        <v>27</v>
      </c>
      <c r="D31" s="11" t="s">
        <v>87</v>
      </c>
      <c r="E31" s="6" t="s">
        <v>20</v>
      </c>
      <c r="F31" s="7">
        <v>45766</v>
      </c>
      <c r="G31" s="11" t="s">
        <v>24</v>
      </c>
      <c r="H31" s="8">
        <v>10</v>
      </c>
      <c r="I31" s="11" t="s">
        <v>110</v>
      </c>
      <c r="J31" s="12" t="s">
        <v>111</v>
      </c>
      <c r="K31" s="11" t="s">
        <v>22</v>
      </c>
      <c r="L31" s="17" t="s">
        <v>109</v>
      </c>
      <c r="M31" s="17"/>
      <c r="N31" s="17"/>
      <c r="O31" s="17"/>
      <c r="P31" s="17"/>
      <c r="Q31" s="17"/>
      <c r="R31" s="17"/>
      <c r="S31" s="9">
        <v>854.8</v>
      </c>
      <c r="T31" s="14" t="str">
        <f t="shared" si="0"/>
        <v>CPF: 167.009.146-55</v>
      </c>
    </row>
    <row r="32" spans="1:20" ht="12.6" customHeight="1" x14ac:dyDescent="0.2">
      <c r="A32" s="13" t="s">
        <v>86</v>
      </c>
      <c r="B32" s="8">
        <v>31</v>
      </c>
      <c r="C32" s="11" t="s">
        <v>27</v>
      </c>
      <c r="D32" s="11" t="s">
        <v>87</v>
      </c>
      <c r="E32" s="6" t="s">
        <v>20</v>
      </c>
      <c r="F32" s="7">
        <v>45766</v>
      </c>
      <c r="G32" s="11" t="s">
        <v>24</v>
      </c>
      <c r="H32" s="8">
        <v>9</v>
      </c>
      <c r="I32" s="11" t="s">
        <v>113</v>
      </c>
      <c r="J32" s="12" t="s">
        <v>114</v>
      </c>
      <c r="K32" s="11" t="s">
        <v>22</v>
      </c>
      <c r="L32" s="17" t="s">
        <v>112</v>
      </c>
      <c r="M32" s="17"/>
      <c r="N32" s="17"/>
      <c r="O32" s="17"/>
      <c r="P32" s="17"/>
      <c r="Q32" s="17"/>
      <c r="R32" s="17"/>
      <c r="S32" s="9">
        <v>1156</v>
      </c>
      <c r="T32" s="14" t="str">
        <f t="shared" si="0"/>
        <v>CPF: 032.137.136-43</v>
      </c>
    </row>
    <row r="33" spans="1:20" ht="12.6" customHeight="1" x14ac:dyDescent="0.2">
      <c r="A33" s="13" t="s">
        <v>86</v>
      </c>
      <c r="B33" s="8">
        <v>31</v>
      </c>
      <c r="C33" s="11" t="s">
        <v>27</v>
      </c>
      <c r="D33" s="11" t="s">
        <v>87</v>
      </c>
      <c r="E33" s="6" t="s">
        <v>20</v>
      </c>
      <c r="F33" s="7">
        <v>45766</v>
      </c>
      <c r="G33" s="11" t="s">
        <v>24</v>
      </c>
      <c r="H33" s="8">
        <v>2</v>
      </c>
      <c r="I33" s="11" t="s">
        <v>116</v>
      </c>
      <c r="J33" s="12" t="s">
        <v>117</v>
      </c>
      <c r="K33" s="11" t="s">
        <v>22</v>
      </c>
      <c r="L33" s="17" t="s">
        <v>115</v>
      </c>
      <c r="M33" s="17"/>
      <c r="N33" s="17"/>
      <c r="O33" s="17"/>
      <c r="P33" s="17"/>
      <c r="Q33" s="17"/>
      <c r="R33" s="17"/>
      <c r="S33" s="9">
        <v>979.6</v>
      </c>
      <c r="T33" s="14" t="str">
        <f t="shared" si="0"/>
        <v>CPF: 040.832.786-33</v>
      </c>
    </row>
    <row r="34" spans="1:20" ht="12.6" customHeight="1" x14ac:dyDescent="0.2">
      <c r="A34" s="13" t="s">
        <v>86</v>
      </c>
      <c r="B34" s="8">
        <v>31</v>
      </c>
      <c r="C34" s="11" t="s">
        <v>27</v>
      </c>
      <c r="D34" s="11" t="s">
        <v>87</v>
      </c>
      <c r="E34" s="6" t="s">
        <v>20</v>
      </c>
      <c r="F34" s="7">
        <v>45766</v>
      </c>
      <c r="G34" s="11" t="s">
        <v>24</v>
      </c>
      <c r="H34" s="8">
        <v>14</v>
      </c>
      <c r="I34" s="11" t="s">
        <v>120</v>
      </c>
      <c r="J34" s="12" t="s">
        <v>125</v>
      </c>
      <c r="K34" s="10" t="s">
        <v>119</v>
      </c>
      <c r="L34" s="4" t="s">
        <v>127</v>
      </c>
      <c r="M34" s="5" t="s">
        <v>118</v>
      </c>
      <c r="N34" s="6" t="s">
        <v>121</v>
      </c>
      <c r="O34" s="6" t="s">
        <v>122</v>
      </c>
      <c r="P34" s="11" t="s">
        <v>124</v>
      </c>
      <c r="Q34" s="11" t="s">
        <v>126</v>
      </c>
      <c r="R34" s="6" t="s">
        <v>123</v>
      </c>
      <c r="S34" s="9">
        <v>1078.93</v>
      </c>
      <c r="T34" s="14" t="str">
        <f t="shared" si="0"/>
        <v>CAIXA - 1926 - 50939-5 - 034.735.096-80</v>
      </c>
    </row>
    <row r="35" spans="1:20" ht="15" customHeight="1" x14ac:dyDescent="0.2">
      <c r="A35" s="2" t="s">
        <v>16</v>
      </c>
      <c r="B35" s="1" t="s">
        <v>15</v>
      </c>
      <c r="C35" s="2" t="s">
        <v>17</v>
      </c>
      <c r="D35" s="2" t="s">
        <v>18</v>
      </c>
      <c r="E35" s="1" t="s">
        <v>13</v>
      </c>
      <c r="F35" s="1" t="s">
        <v>1</v>
      </c>
      <c r="G35" s="2" t="s">
        <v>14</v>
      </c>
      <c r="H35" s="1" t="s">
        <v>0</v>
      </c>
      <c r="I35" s="2" t="s">
        <v>3</v>
      </c>
      <c r="J35" s="1" t="s">
        <v>11</v>
      </c>
      <c r="K35" s="2" t="s">
        <v>4</v>
      </c>
      <c r="L35" s="2" t="s">
        <v>5</v>
      </c>
      <c r="M35" s="1" t="s">
        <v>6</v>
      </c>
      <c r="N35" s="1" t="s">
        <v>7</v>
      </c>
      <c r="O35" s="1" t="s">
        <v>8</v>
      </c>
      <c r="P35" s="2" t="s">
        <v>9</v>
      </c>
      <c r="Q35" s="2" t="s">
        <v>12</v>
      </c>
      <c r="R35" s="1" t="s">
        <v>10</v>
      </c>
      <c r="S35" s="3" t="s">
        <v>2</v>
      </c>
      <c r="T35" s="14" t="str">
        <f t="shared" si="0"/>
        <v>Nome Banco - Agência - N° Conta-Dig. Conta - CPF</v>
      </c>
    </row>
    <row r="36" spans="1:20" ht="12.6" customHeight="1" x14ac:dyDescent="0.2">
      <c r="A36" s="13" t="s">
        <v>131</v>
      </c>
      <c r="B36" s="8">
        <v>32</v>
      </c>
      <c r="C36" s="11" t="s">
        <v>27</v>
      </c>
      <c r="D36" s="11" t="s">
        <v>132</v>
      </c>
      <c r="E36" s="6" t="s">
        <v>20</v>
      </c>
      <c r="F36" s="7">
        <v>45766</v>
      </c>
      <c r="G36" s="11" t="s">
        <v>24</v>
      </c>
      <c r="H36" s="8">
        <v>8</v>
      </c>
      <c r="I36" s="11" t="s">
        <v>129</v>
      </c>
      <c r="J36" s="12" t="s">
        <v>130</v>
      </c>
      <c r="K36" s="11" t="s">
        <v>22</v>
      </c>
      <c r="L36" s="17" t="s">
        <v>128</v>
      </c>
      <c r="M36" s="17"/>
      <c r="N36" s="17"/>
      <c r="O36" s="17"/>
      <c r="P36" s="17"/>
      <c r="Q36" s="17"/>
      <c r="R36" s="17"/>
      <c r="S36" s="9">
        <v>1156</v>
      </c>
      <c r="T36" s="14" t="str">
        <f t="shared" si="0"/>
        <v>Celular: 31985800124</v>
      </c>
    </row>
    <row r="37" spans="1:20" ht="12.6" customHeight="1" x14ac:dyDescent="0.2">
      <c r="A37" s="13" t="s">
        <v>131</v>
      </c>
      <c r="B37" s="8">
        <v>32</v>
      </c>
      <c r="C37" s="11" t="s">
        <v>27</v>
      </c>
      <c r="D37" s="11" t="s">
        <v>132</v>
      </c>
      <c r="E37" s="6" t="s">
        <v>20</v>
      </c>
      <c r="F37" s="7">
        <v>45766</v>
      </c>
      <c r="G37" s="11" t="s">
        <v>24</v>
      </c>
      <c r="H37" s="8">
        <v>7</v>
      </c>
      <c r="I37" s="11" t="s">
        <v>134</v>
      </c>
      <c r="J37" s="12" t="s">
        <v>135</v>
      </c>
      <c r="K37" s="11" t="s">
        <v>22</v>
      </c>
      <c r="L37" s="17" t="s">
        <v>133</v>
      </c>
      <c r="M37" s="17"/>
      <c r="N37" s="17"/>
      <c r="O37" s="17"/>
      <c r="P37" s="17"/>
      <c r="Q37" s="17"/>
      <c r="R37" s="17"/>
      <c r="S37" s="9">
        <v>1156</v>
      </c>
      <c r="T37" s="14" t="str">
        <f t="shared" si="0"/>
        <v>CPF: 117.767.786-50</v>
      </c>
    </row>
    <row r="38" spans="1:20" ht="12.6" customHeight="1" x14ac:dyDescent="0.2">
      <c r="A38" s="13" t="s">
        <v>131</v>
      </c>
      <c r="B38" s="8">
        <v>32</v>
      </c>
      <c r="C38" s="11" t="s">
        <v>27</v>
      </c>
      <c r="D38" s="11" t="s">
        <v>132</v>
      </c>
      <c r="E38" s="6" t="s">
        <v>20</v>
      </c>
      <c r="F38" s="7">
        <v>45766</v>
      </c>
      <c r="G38" s="11" t="s">
        <v>24</v>
      </c>
      <c r="H38" s="8">
        <v>5</v>
      </c>
      <c r="I38" s="11" t="s">
        <v>137</v>
      </c>
      <c r="J38" s="12" t="s">
        <v>138</v>
      </c>
      <c r="K38" s="11" t="s">
        <v>22</v>
      </c>
      <c r="L38" s="17" t="s">
        <v>136</v>
      </c>
      <c r="M38" s="17"/>
      <c r="N38" s="17"/>
      <c r="O38" s="17"/>
      <c r="P38" s="17"/>
      <c r="Q38" s="17"/>
      <c r="R38" s="17"/>
      <c r="S38" s="9">
        <v>672.4</v>
      </c>
      <c r="T38" s="14" t="str">
        <f t="shared" si="0"/>
        <v>CPF: 031.244.396-00</v>
      </c>
    </row>
    <row r="39" spans="1:20" ht="12.6" customHeight="1" x14ac:dyDescent="0.2">
      <c r="A39" s="13" t="s">
        <v>131</v>
      </c>
      <c r="B39" s="8">
        <v>32</v>
      </c>
      <c r="C39" s="11" t="s">
        <v>27</v>
      </c>
      <c r="D39" s="11" t="s">
        <v>132</v>
      </c>
      <c r="E39" s="6" t="s">
        <v>20</v>
      </c>
      <c r="F39" s="7">
        <v>45766</v>
      </c>
      <c r="G39" s="11" t="s">
        <v>24</v>
      </c>
      <c r="H39" s="8">
        <v>1</v>
      </c>
      <c r="I39" s="11" t="s">
        <v>140</v>
      </c>
      <c r="J39" s="12" t="s">
        <v>141</v>
      </c>
      <c r="K39" s="11" t="s">
        <v>22</v>
      </c>
      <c r="L39" s="17" t="s">
        <v>139</v>
      </c>
      <c r="M39" s="17"/>
      <c r="N39" s="17"/>
      <c r="O39" s="17"/>
      <c r="P39" s="17"/>
      <c r="Q39" s="17"/>
      <c r="R39" s="17"/>
      <c r="S39" s="9">
        <v>2301.1999999999998</v>
      </c>
      <c r="T39" s="14" t="str">
        <f t="shared" si="0"/>
        <v>CPF: 105.261.436-14</v>
      </c>
    </row>
    <row r="40" spans="1:20" ht="12.6" customHeight="1" x14ac:dyDescent="0.2">
      <c r="A40" s="13" t="s">
        <v>131</v>
      </c>
      <c r="B40" s="8">
        <v>32</v>
      </c>
      <c r="C40" s="11" t="s">
        <v>27</v>
      </c>
      <c r="D40" s="11" t="s">
        <v>132</v>
      </c>
      <c r="E40" s="6" t="s">
        <v>20</v>
      </c>
      <c r="F40" s="7">
        <v>45766</v>
      </c>
      <c r="G40" s="11" t="s">
        <v>24</v>
      </c>
      <c r="H40" s="8">
        <v>4</v>
      </c>
      <c r="I40" s="11" t="s">
        <v>143</v>
      </c>
      <c r="J40" s="12" t="s">
        <v>144</v>
      </c>
      <c r="K40" s="11" t="s">
        <v>22</v>
      </c>
      <c r="L40" s="17" t="s">
        <v>142</v>
      </c>
      <c r="M40" s="17"/>
      <c r="N40" s="17"/>
      <c r="O40" s="17"/>
      <c r="P40" s="17"/>
      <c r="Q40" s="17"/>
      <c r="R40" s="17"/>
      <c r="S40" s="9">
        <v>979.6</v>
      </c>
      <c r="T40" s="14" t="str">
        <f t="shared" si="0"/>
        <v>CPF: 064.935.736-10</v>
      </c>
    </row>
    <row r="41" spans="1:20" ht="12.6" customHeight="1" x14ac:dyDescent="0.2">
      <c r="A41" s="13" t="s">
        <v>131</v>
      </c>
      <c r="B41" s="8">
        <v>32</v>
      </c>
      <c r="C41" s="11" t="s">
        <v>27</v>
      </c>
      <c r="D41" s="11" t="s">
        <v>132</v>
      </c>
      <c r="E41" s="6" t="s">
        <v>20</v>
      </c>
      <c r="F41" s="7">
        <v>45766</v>
      </c>
      <c r="G41" s="11" t="s">
        <v>24</v>
      </c>
      <c r="H41" s="8">
        <v>6</v>
      </c>
      <c r="I41" s="11" t="s">
        <v>146</v>
      </c>
      <c r="J41" s="12" t="s">
        <v>147</v>
      </c>
      <c r="K41" s="11" t="s">
        <v>22</v>
      </c>
      <c r="L41" s="17" t="s">
        <v>145</v>
      </c>
      <c r="M41" s="17"/>
      <c r="N41" s="17"/>
      <c r="O41" s="17"/>
      <c r="P41" s="17"/>
      <c r="Q41" s="17"/>
      <c r="R41" s="17"/>
      <c r="S41" s="9">
        <v>854.8</v>
      </c>
      <c r="T41" s="14" t="str">
        <f t="shared" si="0"/>
        <v>Celular: 33999182905</v>
      </c>
    </row>
    <row r="42" spans="1:20" ht="15" customHeight="1" x14ac:dyDescent="0.2">
      <c r="A42" s="2" t="s">
        <v>16</v>
      </c>
      <c r="B42" s="1" t="s">
        <v>15</v>
      </c>
      <c r="C42" s="2" t="s">
        <v>17</v>
      </c>
      <c r="D42" s="2" t="s">
        <v>18</v>
      </c>
      <c r="E42" s="1" t="s">
        <v>13</v>
      </c>
      <c r="F42" s="1" t="s">
        <v>1</v>
      </c>
      <c r="G42" s="2" t="s">
        <v>14</v>
      </c>
      <c r="H42" s="1" t="s">
        <v>0</v>
      </c>
      <c r="I42" s="2" t="s">
        <v>3</v>
      </c>
      <c r="J42" s="1" t="s">
        <v>11</v>
      </c>
      <c r="K42" s="2" t="s">
        <v>4</v>
      </c>
      <c r="L42" s="2" t="s">
        <v>5</v>
      </c>
      <c r="M42" s="1" t="s">
        <v>6</v>
      </c>
      <c r="N42" s="1" t="s">
        <v>7</v>
      </c>
      <c r="O42" s="1" t="s">
        <v>8</v>
      </c>
      <c r="P42" s="2" t="s">
        <v>9</v>
      </c>
      <c r="Q42" s="2" t="s">
        <v>12</v>
      </c>
      <c r="R42" s="1" t="s">
        <v>10</v>
      </c>
      <c r="S42" s="3" t="s">
        <v>2</v>
      </c>
      <c r="T42" s="14" t="str">
        <f t="shared" si="0"/>
        <v>Nome Banco - Agência - N° Conta-Dig. Conta - CPF</v>
      </c>
    </row>
    <row r="43" spans="1:20" ht="12.6" customHeight="1" x14ac:dyDescent="0.2">
      <c r="A43" s="13" t="s">
        <v>274</v>
      </c>
      <c r="B43" s="8">
        <v>33</v>
      </c>
      <c r="C43" s="11" t="s">
        <v>27</v>
      </c>
      <c r="D43" s="11" t="s">
        <v>151</v>
      </c>
      <c r="E43" s="6" t="s">
        <v>20</v>
      </c>
      <c r="F43" s="7">
        <v>45766</v>
      </c>
      <c r="G43" s="11" t="s">
        <v>24</v>
      </c>
      <c r="H43" s="8">
        <v>17</v>
      </c>
      <c r="I43" s="11" t="s">
        <v>149</v>
      </c>
      <c r="J43" s="12" t="s">
        <v>150</v>
      </c>
      <c r="K43" s="11" t="s">
        <v>22</v>
      </c>
      <c r="L43" s="17" t="s">
        <v>148</v>
      </c>
      <c r="M43" s="17"/>
      <c r="N43" s="17"/>
      <c r="O43" s="17"/>
      <c r="P43" s="17"/>
      <c r="Q43" s="17"/>
      <c r="R43" s="17"/>
      <c r="S43" s="9">
        <v>649.99</v>
      </c>
      <c r="T43" s="14" t="str">
        <f t="shared" si="0"/>
        <v>CPF: 094.964.616-46</v>
      </c>
    </row>
    <row r="44" spans="1:20" ht="12.6" customHeight="1" x14ac:dyDescent="0.2">
      <c r="A44" s="13" t="s">
        <v>274</v>
      </c>
      <c r="B44" s="8">
        <v>33</v>
      </c>
      <c r="C44" s="11" t="s">
        <v>27</v>
      </c>
      <c r="D44" s="11" t="s">
        <v>151</v>
      </c>
      <c r="E44" s="6" t="s">
        <v>20</v>
      </c>
      <c r="F44" s="7">
        <v>45766</v>
      </c>
      <c r="G44" s="11" t="s">
        <v>24</v>
      </c>
      <c r="H44" s="8">
        <v>15</v>
      </c>
      <c r="I44" s="11" t="s">
        <v>153</v>
      </c>
      <c r="J44" s="12" t="s">
        <v>154</v>
      </c>
      <c r="K44" s="11" t="s">
        <v>22</v>
      </c>
      <c r="L44" s="17" t="s">
        <v>152</v>
      </c>
      <c r="M44" s="17"/>
      <c r="N44" s="17"/>
      <c r="O44" s="17"/>
      <c r="P44" s="17"/>
      <c r="Q44" s="17"/>
      <c r="R44" s="17"/>
      <c r="S44" s="9">
        <v>854.8</v>
      </c>
      <c r="T44" s="14" t="str">
        <f t="shared" si="0"/>
        <v>Celular: 31996261776</v>
      </c>
    </row>
    <row r="45" spans="1:20" ht="12.6" customHeight="1" x14ac:dyDescent="0.2">
      <c r="A45" s="13" t="s">
        <v>274</v>
      </c>
      <c r="B45" s="8">
        <v>33</v>
      </c>
      <c r="C45" s="11" t="s">
        <v>27</v>
      </c>
      <c r="D45" s="11" t="s">
        <v>151</v>
      </c>
      <c r="E45" s="6" t="s">
        <v>20</v>
      </c>
      <c r="F45" s="7">
        <v>45766</v>
      </c>
      <c r="G45" s="11" t="s">
        <v>24</v>
      </c>
      <c r="H45" s="8">
        <v>7</v>
      </c>
      <c r="I45" s="11" t="s">
        <v>156</v>
      </c>
      <c r="J45" s="12" t="s">
        <v>157</v>
      </c>
      <c r="K45" s="11" t="s">
        <v>22</v>
      </c>
      <c r="L45" s="17" t="s">
        <v>155</v>
      </c>
      <c r="M45" s="17"/>
      <c r="N45" s="17"/>
      <c r="O45" s="17"/>
      <c r="P45" s="17"/>
      <c r="Q45" s="17"/>
      <c r="R45" s="17"/>
      <c r="S45" s="9">
        <v>1156</v>
      </c>
      <c r="T45" s="14" t="str">
        <f t="shared" si="0"/>
        <v>CPF: 156.958.726-42</v>
      </c>
    </row>
    <row r="46" spans="1:20" ht="12.6" customHeight="1" x14ac:dyDescent="0.2">
      <c r="A46" s="13" t="s">
        <v>274</v>
      </c>
      <c r="B46" s="8">
        <v>33</v>
      </c>
      <c r="C46" s="11" t="s">
        <v>27</v>
      </c>
      <c r="D46" s="11" t="s">
        <v>151</v>
      </c>
      <c r="E46" s="6" t="s">
        <v>20</v>
      </c>
      <c r="F46" s="7">
        <v>45766</v>
      </c>
      <c r="G46" s="11" t="s">
        <v>24</v>
      </c>
      <c r="H46" s="8">
        <v>3</v>
      </c>
      <c r="I46" s="11" t="s">
        <v>159</v>
      </c>
      <c r="J46" s="12" t="s">
        <v>160</v>
      </c>
      <c r="K46" s="11" t="s">
        <v>22</v>
      </c>
      <c r="L46" s="17" t="s">
        <v>158</v>
      </c>
      <c r="M46" s="17"/>
      <c r="N46" s="17"/>
      <c r="O46" s="17"/>
      <c r="P46" s="17"/>
      <c r="Q46" s="17"/>
      <c r="R46" s="17"/>
      <c r="S46" s="9">
        <v>1156</v>
      </c>
      <c r="T46" s="14" t="str">
        <f t="shared" si="0"/>
        <v>CPF: 020.866.965-58</v>
      </c>
    </row>
    <row r="47" spans="1:20" ht="12.6" customHeight="1" x14ac:dyDescent="0.2">
      <c r="A47" s="13" t="s">
        <v>274</v>
      </c>
      <c r="B47" s="8">
        <v>33</v>
      </c>
      <c r="C47" s="11" t="s">
        <v>27</v>
      </c>
      <c r="D47" s="11" t="s">
        <v>151</v>
      </c>
      <c r="E47" s="6" t="s">
        <v>20</v>
      </c>
      <c r="F47" s="7">
        <v>45766</v>
      </c>
      <c r="G47" s="11" t="s">
        <v>24</v>
      </c>
      <c r="H47" s="8">
        <v>8</v>
      </c>
      <c r="I47" s="11" t="s">
        <v>162</v>
      </c>
      <c r="J47" s="12" t="s">
        <v>163</v>
      </c>
      <c r="K47" s="11" t="s">
        <v>22</v>
      </c>
      <c r="L47" s="17" t="s">
        <v>161</v>
      </c>
      <c r="M47" s="17"/>
      <c r="N47" s="17"/>
      <c r="O47" s="17"/>
      <c r="P47" s="17"/>
      <c r="Q47" s="17"/>
      <c r="R47" s="17"/>
      <c r="S47" s="9">
        <v>1156</v>
      </c>
      <c r="T47" s="14" t="str">
        <f t="shared" si="0"/>
        <v>Celular: 31986367059</v>
      </c>
    </row>
    <row r="48" spans="1:20" ht="12.6" customHeight="1" x14ac:dyDescent="0.2">
      <c r="A48" s="13" t="s">
        <v>274</v>
      </c>
      <c r="B48" s="8">
        <v>33</v>
      </c>
      <c r="C48" s="11" t="s">
        <v>27</v>
      </c>
      <c r="D48" s="11" t="s">
        <v>151</v>
      </c>
      <c r="E48" s="6" t="s">
        <v>20</v>
      </c>
      <c r="F48" s="7">
        <v>45766</v>
      </c>
      <c r="G48" s="11" t="s">
        <v>24</v>
      </c>
      <c r="H48" s="8">
        <v>11</v>
      </c>
      <c r="I48" s="11" t="s">
        <v>165</v>
      </c>
      <c r="J48" s="12" t="s">
        <v>166</v>
      </c>
      <c r="K48" s="11" t="s">
        <v>22</v>
      </c>
      <c r="L48" s="17" t="s">
        <v>164</v>
      </c>
      <c r="M48" s="17"/>
      <c r="N48" s="17"/>
      <c r="O48" s="17"/>
      <c r="P48" s="17"/>
      <c r="Q48" s="17"/>
      <c r="R48" s="17"/>
      <c r="S48" s="9">
        <v>854.8</v>
      </c>
      <c r="T48" s="14" t="str">
        <f t="shared" si="0"/>
        <v>CPF: 092.507.366-06</v>
      </c>
    </row>
    <row r="49" spans="1:20" ht="12.6" customHeight="1" x14ac:dyDescent="0.2">
      <c r="A49" s="13" t="s">
        <v>274</v>
      </c>
      <c r="B49" s="8">
        <v>33</v>
      </c>
      <c r="C49" s="11" t="s">
        <v>27</v>
      </c>
      <c r="D49" s="11" t="s">
        <v>151</v>
      </c>
      <c r="E49" s="6" t="s">
        <v>20</v>
      </c>
      <c r="F49" s="7">
        <v>45766</v>
      </c>
      <c r="G49" s="11" t="s">
        <v>24</v>
      </c>
      <c r="H49" s="8">
        <v>5</v>
      </c>
      <c r="I49" s="11" t="s">
        <v>168</v>
      </c>
      <c r="J49" s="12" t="s">
        <v>169</v>
      </c>
      <c r="K49" s="11" t="s">
        <v>22</v>
      </c>
      <c r="L49" s="17" t="s">
        <v>167</v>
      </c>
      <c r="M49" s="17"/>
      <c r="N49" s="17"/>
      <c r="O49" s="17"/>
      <c r="P49" s="17"/>
      <c r="Q49" s="17"/>
      <c r="R49" s="17"/>
      <c r="S49" s="9">
        <v>1156</v>
      </c>
      <c r="T49" s="14" t="str">
        <f t="shared" si="0"/>
        <v>Celular: 31985907369</v>
      </c>
    </row>
    <row r="50" spans="1:20" ht="12.6" customHeight="1" x14ac:dyDescent="0.2">
      <c r="A50" s="13" t="s">
        <v>274</v>
      </c>
      <c r="B50" s="8">
        <v>33</v>
      </c>
      <c r="C50" s="11" t="s">
        <v>27</v>
      </c>
      <c r="D50" s="11" t="s">
        <v>151</v>
      </c>
      <c r="E50" s="6" t="s">
        <v>20</v>
      </c>
      <c r="F50" s="7">
        <v>45766</v>
      </c>
      <c r="G50" s="11" t="s">
        <v>24</v>
      </c>
      <c r="H50" s="8">
        <v>10</v>
      </c>
      <c r="I50" s="11" t="s">
        <v>171</v>
      </c>
      <c r="J50" s="12" t="s">
        <v>172</v>
      </c>
      <c r="K50" s="11" t="s">
        <v>22</v>
      </c>
      <c r="L50" s="17" t="s">
        <v>170</v>
      </c>
      <c r="M50" s="17"/>
      <c r="N50" s="17"/>
      <c r="O50" s="17"/>
      <c r="P50" s="17"/>
      <c r="Q50" s="17"/>
      <c r="R50" s="17"/>
      <c r="S50" s="9">
        <v>854.8</v>
      </c>
      <c r="T50" s="14" t="str">
        <f t="shared" si="0"/>
        <v>Celular: 31999741371</v>
      </c>
    </row>
    <row r="51" spans="1:20" ht="12.6" customHeight="1" x14ac:dyDescent="0.2">
      <c r="A51" s="13" t="s">
        <v>274</v>
      </c>
      <c r="B51" s="8">
        <v>33</v>
      </c>
      <c r="C51" s="11" t="s">
        <v>27</v>
      </c>
      <c r="D51" s="11" t="s">
        <v>151</v>
      </c>
      <c r="E51" s="6" t="s">
        <v>20</v>
      </c>
      <c r="F51" s="7">
        <v>45766</v>
      </c>
      <c r="G51" s="11" t="s">
        <v>24</v>
      </c>
      <c r="H51" s="8">
        <v>12</v>
      </c>
      <c r="I51" s="11" t="s">
        <v>174</v>
      </c>
      <c r="J51" s="12" t="s">
        <v>175</v>
      </c>
      <c r="K51" s="11" t="s">
        <v>22</v>
      </c>
      <c r="L51" s="17" t="s">
        <v>173</v>
      </c>
      <c r="M51" s="17"/>
      <c r="N51" s="17"/>
      <c r="O51" s="17"/>
      <c r="P51" s="17"/>
      <c r="Q51" s="17"/>
      <c r="R51" s="17"/>
      <c r="S51" s="9">
        <v>672.4</v>
      </c>
      <c r="T51" s="14" t="str">
        <f t="shared" si="0"/>
        <v>E-mail: uostons12@gmail.com</v>
      </c>
    </row>
    <row r="52" spans="1:20" ht="12.6" customHeight="1" x14ac:dyDescent="0.2">
      <c r="A52" s="13" t="s">
        <v>274</v>
      </c>
      <c r="B52" s="8">
        <v>33</v>
      </c>
      <c r="C52" s="11" t="s">
        <v>27</v>
      </c>
      <c r="D52" s="11" t="s">
        <v>151</v>
      </c>
      <c r="E52" s="6" t="s">
        <v>20</v>
      </c>
      <c r="F52" s="7">
        <v>45766</v>
      </c>
      <c r="G52" s="11" t="s">
        <v>24</v>
      </c>
      <c r="H52" s="8">
        <v>16</v>
      </c>
      <c r="I52" s="11" t="s">
        <v>177</v>
      </c>
      <c r="J52" s="12" t="s">
        <v>178</v>
      </c>
      <c r="K52" s="11" t="s">
        <v>22</v>
      </c>
      <c r="L52" s="17" t="s">
        <v>176</v>
      </c>
      <c r="M52" s="17"/>
      <c r="N52" s="17"/>
      <c r="O52" s="17"/>
      <c r="P52" s="17"/>
      <c r="Q52" s="17"/>
      <c r="R52" s="17"/>
      <c r="S52" s="9">
        <v>2092</v>
      </c>
      <c r="T52" s="14" t="str">
        <f t="shared" si="0"/>
        <v>CPF: 062.403.686-36</v>
      </c>
    </row>
    <row r="53" spans="1:20" ht="12.6" customHeight="1" x14ac:dyDescent="0.2">
      <c r="A53" s="13" t="s">
        <v>274</v>
      </c>
      <c r="B53" s="8">
        <v>33</v>
      </c>
      <c r="C53" s="11" t="s">
        <v>27</v>
      </c>
      <c r="D53" s="11" t="s">
        <v>151</v>
      </c>
      <c r="E53" s="6" t="s">
        <v>20</v>
      </c>
      <c r="F53" s="7">
        <v>45766</v>
      </c>
      <c r="G53" s="11" t="s">
        <v>24</v>
      </c>
      <c r="H53" s="8">
        <v>13</v>
      </c>
      <c r="I53" s="11" t="s">
        <v>180</v>
      </c>
      <c r="J53" s="12" t="s">
        <v>184</v>
      </c>
      <c r="K53" s="10" t="s">
        <v>119</v>
      </c>
      <c r="L53" s="4" t="s">
        <v>186</v>
      </c>
      <c r="M53" s="5" t="s">
        <v>179</v>
      </c>
      <c r="N53" s="6" t="s">
        <v>181</v>
      </c>
      <c r="O53" s="6" t="s">
        <v>122</v>
      </c>
      <c r="P53" s="11" t="s">
        <v>183</v>
      </c>
      <c r="Q53" s="11" t="s">
        <v>185</v>
      </c>
      <c r="R53" s="6" t="s">
        <v>182</v>
      </c>
      <c r="S53" s="9">
        <v>1156</v>
      </c>
      <c r="T53" s="14" t="str">
        <f t="shared" si="0"/>
        <v>ITAÚ - 6505 - 81456-3 - 426.197.346-49</v>
      </c>
    </row>
    <row r="54" spans="1:20" ht="15" customHeight="1" x14ac:dyDescent="0.2">
      <c r="A54" s="2" t="s">
        <v>16</v>
      </c>
      <c r="B54" s="1" t="s">
        <v>15</v>
      </c>
      <c r="C54" s="2" t="s">
        <v>17</v>
      </c>
      <c r="D54" s="2" t="s">
        <v>18</v>
      </c>
      <c r="E54" s="1" t="s">
        <v>13</v>
      </c>
      <c r="F54" s="1" t="s">
        <v>1</v>
      </c>
      <c r="G54" s="2" t="s">
        <v>14</v>
      </c>
      <c r="H54" s="1" t="s">
        <v>0</v>
      </c>
      <c r="I54" s="2" t="s">
        <v>3</v>
      </c>
      <c r="J54" s="1" t="s">
        <v>11</v>
      </c>
      <c r="K54" s="2" t="s">
        <v>4</v>
      </c>
      <c r="L54" s="2" t="s">
        <v>5</v>
      </c>
      <c r="M54" s="1" t="s">
        <v>6</v>
      </c>
      <c r="N54" s="1" t="s">
        <v>7</v>
      </c>
      <c r="O54" s="1" t="s">
        <v>8</v>
      </c>
      <c r="P54" s="2" t="s">
        <v>9</v>
      </c>
      <c r="Q54" s="2" t="s">
        <v>12</v>
      </c>
      <c r="R54" s="1" t="s">
        <v>10</v>
      </c>
      <c r="S54" s="3" t="s">
        <v>2</v>
      </c>
      <c r="T54" s="14" t="str">
        <f t="shared" si="0"/>
        <v>Nome Banco - Agência - N° Conta-Dig. Conta - CPF</v>
      </c>
    </row>
    <row r="55" spans="1:20" ht="12.6" customHeight="1" x14ac:dyDescent="0.2">
      <c r="A55" s="13" t="s">
        <v>190</v>
      </c>
      <c r="B55" s="8">
        <v>34</v>
      </c>
      <c r="C55" s="11" t="s">
        <v>27</v>
      </c>
      <c r="D55" s="11" t="s">
        <v>191</v>
      </c>
      <c r="E55" s="6" t="s">
        <v>20</v>
      </c>
      <c r="F55" s="7">
        <v>45766</v>
      </c>
      <c r="G55" s="11" t="s">
        <v>24</v>
      </c>
      <c r="H55" s="8">
        <v>1</v>
      </c>
      <c r="I55" s="11" t="s">
        <v>188</v>
      </c>
      <c r="J55" s="12" t="s">
        <v>189</v>
      </c>
      <c r="K55" s="11" t="s">
        <v>22</v>
      </c>
      <c r="L55" s="17" t="s">
        <v>187</v>
      </c>
      <c r="M55" s="17"/>
      <c r="N55" s="17"/>
      <c r="O55" s="17"/>
      <c r="P55" s="17"/>
      <c r="Q55" s="17"/>
      <c r="R55" s="17"/>
      <c r="S55" s="9">
        <v>2510.4</v>
      </c>
      <c r="T55" s="14" t="str">
        <f t="shared" si="0"/>
        <v>CPF: 371.349.496-72</v>
      </c>
    </row>
    <row r="56" spans="1:20" ht="12.6" customHeight="1" x14ac:dyDescent="0.2">
      <c r="A56" s="13" t="s">
        <v>190</v>
      </c>
      <c r="B56" s="8">
        <v>34</v>
      </c>
      <c r="C56" s="11" t="s">
        <v>27</v>
      </c>
      <c r="D56" s="11" t="s">
        <v>191</v>
      </c>
      <c r="E56" s="6" t="s">
        <v>20</v>
      </c>
      <c r="F56" s="7">
        <v>45766</v>
      </c>
      <c r="G56" s="11" t="s">
        <v>24</v>
      </c>
      <c r="H56" s="8">
        <v>2</v>
      </c>
      <c r="I56" s="11" t="s">
        <v>193</v>
      </c>
      <c r="J56" s="12" t="s">
        <v>194</v>
      </c>
      <c r="K56" s="11" t="s">
        <v>22</v>
      </c>
      <c r="L56" s="17" t="s">
        <v>192</v>
      </c>
      <c r="M56" s="17"/>
      <c r="N56" s="17"/>
      <c r="O56" s="17"/>
      <c r="P56" s="17"/>
      <c r="Q56" s="17"/>
      <c r="R56" s="17"/>
      <c r="S56" s="9">
        <v>1156</v>
      </c>
      <c r="T56" s="14" t="str">
        <f t="shared" si="0"/>
        <v>CPF: 101.990.696-03</v>
      </c>
    </row>
    <row r="57" spans="1:20" ht="12.6" customHeight="1" x14ac:dyDescent="0.2">
      <c r="A57" s="13" t="s">
        <v>190</v>
      </c>
      <c r="B57" s="8">
        <v>34</v>
      </c>
      <c r="C57" s="11" t="s">
        <v>27</v>
      </c>
      <c r="D57" s="11" t="s">
        <v>191</v>
      </c>
      <c r="E57" s="6" t="s">
        <v>20</v>
      </c>
      <c r="F57" s="7">
        <v>45766</v>
      </c>
      <c r="G57" s="11" t="s">
        <v>24</v>
      </c>
      <c r="H57" s="8">
        <v>3</v>
      </c>
      <c r="I57" s="11" t="s">
        <v>196</v>
      </c>
      <c r="J57" s="12" t="s">
        <v>197</v>
      </c>
      <c r="K57" s="11" t="s">
        <v>22</v>
      </c>
      <c r="L57" s="17" t="s">
        <v>195</v>
      </c>
      <c r="M57" s="17"/>
      <c r="N57" s="17"/>
      <c r="O57" s="17"/>
      <c r="P57" s="17"/>
      <c r="Q57" s="17"/>
      <c r="R57" s="17"/>
      <c r="S57" s="9">
        <v>1156</v>
      </c>
      <c r="T57" s="14" t="str">
        <f t="shared" si="0"/>
        <v>CPF: 140.201.566-62</v>
      </c>
    </row>
    <row r="58" spans="1:20" ht="12.6" customHeight="1" x14ac:dyDescent="0.2">
      <c r="A58" s="13" t="s">
        <v>190</v>
      </c>
      <c r="B58" s="8">
        <v>34</v>
      </c>
      <c r="C58" s="11" t="s">
        <v>27</v>
      </c>
      <c r="D58" s="11" t="s">
        <v>191</v>
      </c>
      <c r="E58" s="6" t="s">
        <v>20</v>
      </c>
      <c r="F58" s="7">
        <v>45766</v>
      </c>
      <c r="G58" s="11" t="s">
        <v>24</v>
      </c>
      <c r="H58" s="8">
        <v>4</v>
      </c>
      <c r="I58" s="11" t="s">
        <v>199</v>
      </c>
      <c r="J58" s="12" t="s">
        <v>203</v>
      </c>
      <c r="K58" s="10" t="s">
        <v>119</v>
      </c>
      <c r="L58" s="4" t="s">
        <v>127</v>
      </c>
      <c r="M58" s="5" t="s">
        <v>198</v>
      </c>
      <c r="N58" s="6" t="s">
        <v>200</v>
      </c>
      <c r="O58" s="6" t="s">
        <v>122</v>
      </c>
      <c r="P58" s="11" t="s">
        <v>202</v>
      </c>
      <c r="Q58" s="11" t="s">
        <v>204</v>
      </c>
      <c r="R58" s="6" t="s">
        <v>201</v>
      </c>
      <c r="S58" s="9">
        <v>672.4</v>
      </c>
      <c r="T58" s="14" t="str">
        <f t="shared" si="0"/>
        <v>CAIXA - 0081 - 74413048-0 - 945.123.612-00</v>
      </c>
    </row>
    <row r="59" spans="1:20" ht="15" customHeight="1" x14ac:dyDescent="0.2">
      <c r="A59" s="2" t="s">
        <v>16</v>
      </c>
      <c r="B59" s="1" t="s">
        <v>15</v>
      </c>
      <c r="C59" s="2" t="s">
        <v>17</v>
      </c>
      <c r="D59" s="2" t="s">
        <v>18</v>
      </c>
      <c r="E59" s="1" t="s">
        <v>13</v>
      </c>
      <c r="F59" s="1" t="s">
        <v>1</v>
      </c>
      <c r="G59" s="2" t="s">
        <v>14</v>
      </c>
      <c r="H59" s="1" t="s">
        <v>0</v>
      </c>
      <c r="I59" s="2" t="s">
        <v>3</v>
      </c>
      <c r="J59" s="1" t="s">
        <v>11</v>
      </c>
      <c r="K59" s="2" t="s">
        <v>4</v>
      </c>
      <c r="L59" s="2" t="s">
        <v>5</v>
      </c>
      <c r="M59" s="1" t="s">
        <v>6</v>
      </c>
      <c r="N59" s="1" t="s">
        <v>7</v>
      </c>
      <c r="O59" s="1" t="s">
        <v>8</v>
      </c>
      <c r="P59" s="2" t="s">
        <v>9</v>
      </c>
      <c r="Q59" s="2" t="s">
        <v>12</v>
      </c>
      <c r="R59" s="1" t="s">
        <v>10</v>
      </c>
      <c r="S59" s="3" t="s">
        <v>2</v>
      </c>
      <c r="T59" s="14" t="str">
        <f t="shared" si="0"/>
        <v>Nome Banco - Agência - N° Conta-Dig. Conta - CPF</v>
      </c>
    </row>
    <row r="60" spans="1:20" ht="12.6" customHeight="1" x14ac:dyDescent="0.2">
      <c r="A60" s="13" t="s">
        <v>208</v>
      </c>
      <c r="B60" s="8">
        <v>35</v>
      </c>
      <c r="C60" s="11" t="s">
        <v>27</v>
      </c>
      <c r="D60" s="11" t="s">
        <v>209</v>
      </c>
      <c r="E60" s="6" t="s">
        <v>20</v>
      </c>
      <c r="F60" s="7">
        <v>45766</v>
      </c>
      <c r="G60" s="11" t="s">
        <v>24</v>
      </c>
      <c r="H60" s="8">
        <v>2</v>
      </c>
      <c r="I60" s="11" t="s">
        <v>206</v>
      </c>
      <c r="J60" s="12" t="s">
        <v>207</v>
      </c>
      <c r="K60" s="11" t="s">
        <v>22</v>
      </c>
      <c r="L60" s="17" t="s">
        <v>205</v>
      </c>
      <c r="M60" s="17"/>
      <c r="N60" s="17"/>
      <c r="O60" s="17"/>
      <c r="P60" s="17"/>
      <c r="Q60" s="17"/>
      <c r="R60" s="17"/>
      <c r="S60" s="9">
        <v>1156</v>
      </c>
      <c r="T60" s="14" t="str">
        <f t="shared" si="0"/>
        <v>Celular: 31982618378</v>
      </c>
    </row>
    <row r="61" spans="1:20" ht="12.6" customHeight="1" x14ac:dyDescent="0.2">
      <c r="A61" s="13" t="s">
        <v>208</v>
      </c>
      <c r="B61" s="8">
        <v>35</v>
      </c>
      <c r="C61" s="11" t="s">
        <v>27</v>
      </c>
      <c r="D61" s="11" t="s">
        <v>209</v>
      </c>
      <c r="E61" s="6" t="s">
        <v>20</v>
      </c>
      <c r="F61" s="7">
        <v>45766</v>
      </c>
      <c r="G61" s="11" t="s">
        <v>24</v>
      </c>
      <c r="H61" s="8">
        <v>1</v>
      </c>
      <c r="I61" s="11" t="s">
        <v>211</v>
      </c>
      <c r="J61" s="12" t="s">
        <v>212</v>
      </c>
      <c r="K61" s="11" t="s">
        <v>22</v>
      </c>
      <c r="L61" s="17" t="s">
        <v>210</v>
      </c>
      <c r="M61" s="17"/>
      <c r="N61" s="17"/>
      <c r="O61" s="17"/>
      <c r="P61" s="17"/>
      <c r="Q61" s="17"/>
      <c r="R61" s="17"/>
      <c r="S61" s="9">
        <v>2719.6</v>
      </c>
      <c r="T61" s="14" t="str">
        <f t="shared" si="0"/>
        <v>CPF: 075.738.766-70</v>
      </c>
    </row>
    <row r="62" spans="1:20" ht="12.6" customHeight="1" x14ac:dyDescent="0.2">
      <c r="A62" s="13" t="s">
        <v>208</v>
      </c>
      <c r="B62" s="8">
        <v>35</v>
      </c>
      <c r="C62" s="11" t="s">
        <v>27</v>
      </c>
      <c r="D62" s="11" t="s">
        <v>209</v>
      </c>
      <c r="E62" s="6" t="s">
        <v>20</v>
      </c>
      <c r="F62" s="7">
        <v>45766</v>
      </c>
      <c r="G62" s="11" t="s">
        <v>24</v>
      </c>
      <c r="H62" s="8">
        <v>10</v>
      </c>
      <c r="I62" s="11" t="s">
        <v>214</v>
      </c>
      <c r="J62" s="12" t="s">
        <v>215</v>
      </c>
      <c r="K62" s="11" t="s">
        <v>22</v>
      </c>
      <c r="L62" s="17" t="s">
        <v>213</v>
      </c>
      <c r="M62" s="17"/>
      <c r="N62" s="17"/>
      <c r="O62" s="17"/>
      <c r="P62" s="17"/>
      <c r="Q62" s="17"/>
      <c r="R62" s="17"/>
      <c r="S62" s="9">
        <v>1156</v>
      </c>
      <c r="T62" s="14" t="str">
        <f t="shared" si="0"/>
        <v>Celular: 31999187222</v>
      </c>
    </row>
    <row r="63" spans="1:20" ht="12.6" customHeight="1" x14ac:dyDescent="0.2">
      <c r="A63" s="13" t="s">
        <v>208</v>
      </c>
      <c r="B63" s="8">
        <v>35</v>
      </c>
      <c r="C63" s="11" t="s">
        <v>27</v>
      </c>
      <c r="D63" s="11" t="s">
        <v>209</v>
      </c>
      <c r="E63" s="6" t="s">
        <v>20</v>
      </c>
      <c r="F63" s="7">
        <v>45766</v>
      </c>
      <c r="G63" s="11" t="s">
        <v>24</v>
      </c>
      <c r="H63" s="8">
        <v>3</v>
      </c>
      <c r="I63" s="11" t="s">
        <v>217</v>
      </c>
      <c r="J63" s="12" t="s">
        <v>218</v>
      </c>
      <c r="K63" s="11" t="s">
        <v>22</v>
      </c>
      <c r="L63" s="17" t="s">
        <v>216</v>
      </c>
      <c r="M63" s="17"/>
      <c r="N63" s="17"/>
      <c r="O63" s="17"/>
      <c r="P63" s="17"/>
      <c r="Q63" s="17"/>
      <c r="R63" s="17"/>
      <c r="S63" s="9">
        <v>1156</v>
      </c>
      <c r="T63" s="14" t="str">
        <f t="shared" si="0"/>
        <v>CPF: 072.490.316-00</v>
      </c>
    </row>
    <row r="64" spans="1:20" ht="12.6" customHeight="1" x14ac:dyDescent="0.2">
      <c r="A64" s="13" t="s">
        <v>208</v>
      </c>
      <c r="B64" s="8">
        <v>35</v>
      </c>
      <c r="C64" s="11" t="s">
        <v>27</v>
      </c>
      <c r="D64" s="11" t="s">
        <v>209</v>
      </c>
      <c r="E64" s="6" t="s">
        <v>20</v>
      </c>
      <c r="F64" s="7">
        <v>45766</v>
      </c>
      <c r="G64" s="11" t="s">
        <v>24</v>
      </c>
      <c r="H64" s="8">
        <v>7</v>
      </c>
      <c r="I64" s="11" t="s">
        <v>220</v>
      </c>
      <c r="J64" s="12" t="s">
        <v>221</v>
      </c>
      <c r="K64" s="11" t="s">
        <v>22</v>
      </c>
      <c r="L64" s="17" t="s">
        <v>219</v>
      </c>
      <c r="M64" s="17"/>
      <c r="N64" s="17"/>
      <c r="O64" s="17"/>
      <c r="P64" s="17"/>
      <c r="Q64" s="17"/>
      <c r="R64" s="17"/>
      <c r="S64" s="9">
        <v>979.6</v>
      </c>
      <c r="T64" s="14" t="str">
        <f t="shared" si="0"/>
        <v>CPF: 757.469.803-15</v>
      </c>
    </row>
    <row r="65" spans="1:20" ht="12.6" customHeight="1" x14ac:dyDescent="0.2">
      <c r="A65" s="13" t="s">
        <v>208</v>
      </c>
      <c r="B65" s="8">
        <v>35</v>
      </c>
      <c r="C65" s="11" t="s">
        <v>27</v>
      </c>
      <c r="D65" s="11" t="s">
        <v>209</v>
      </c>
      <c r="E65" s="6" t="s">
        <v>20</v>
      </c>
      <c r="F65" s="7">
        <v>45766</v>
      </c>
      <c r="G65" s="11" t="s">
        <v>24</v>
      </c>
      <c r="H65" s="8">
        <v>4</v>
      </c>
      <c r="I65" s="11" t="s">
        <v>223</v>
      </c>
      <c r="J65" s="12" t="s">
        <v>224</v>
      </c>
      <c r="K65" s="11" t="s">
        <v>22</v>
      </c>
      <c r="L65" s="17" t="s">
        <v>222</v>
      </c>
      <c r="M65" s="17"/>
      <c r="N65" s="17"/>
      <c r="O65" s="17"/>
      <c r="P65" s="17"/>
      <c r="Q65" s="17"/>
      <c r="R65" s="17"/>
      <c r="S65" s="9">
        <v>1156</v>
      </c>
      <c r="T65" s="14" t="str">
        <f t="shared" si="0"/>
        <v>CPF: 147.580.636-13</v>
      </c>
    </row>
    <row r="66" spans="1:20" ht="12.6" customHeight="1" x14ac:dyDescent="0.2">
      <c r="A66" s="13" t="s">
        <v>208</v>
      </c>
      <c r="B66" s="8">
        <v>35</v>
      </c>
      <c r="C66" s="11" t="s">
        <v>27</v>
      </c>
      <c r="D66" s="11" t="s">
        <v>209</v>
      </c>
      <c r="E66" s="6" t="s">
        <v>20</v>
      </c>
      <c r="F66" s="7">
        <v>45766</v>
      </c>
      <c r="G66" s="11" t="s">
        <v>24</v>
      </c>
      <c r="H66" s="8">
        <v>9</v>
      </c>
      <c r="I66" s="11" t="s">
        <v>226</v>
      </c>
      <c r="J66" s="12" t="s">
        <v>227</v>
      </c>
      <c r="K66" s="11" t="s">
        <v>22</v>
      </c>
      <c r="L66" s="17" t="s">
        <v>225</v>
      </c>
      <c r="M66" s="17"/>
      <c r="N66" s="17"/>
      <c r="O66" s="17"/>
      <c r="P66" s="17"/>
      <c r="Q66" s="17"/>
      <c r="R66" s="17"/>
      <c r="S66" s="9">
        <v>672.4</v>
      </c>
      <c r="T66" s="14" t="str">
        <f t="shared" si="0"/>
        <v>CPF: 019.800.986-03</v>
      </c>
    </row>
    <row r="67" spans="1:20" ht="12.6" customHeight="1" x14ac:dyDescent="0.2">
      <c r="A67" s="13" t="s">
        <v>208</v>
      </c>
      <c r="B67" s="8">
        <v>35</v>
      </c>
      <c r="C67" s="11" t="s">
        <v>27</v>
      </c>
      <c r="D67" s="11" t="s">
        <v>209</v>
      </c>
      <c r="E67" s="6" t="s">
        <v>20</v>
      </c>
      <c r="F67" s="7">
        <v>45766</v>
      </c>
      <c r="G67" s="11" t="s">
        <v>24</v>
      </c>
      <c r="H67" s="8">
        <v>5</v>
      </c>
      <c r="I67" s="11" t="s">
        <v>229</v>
      </c>
      <c r="J67" s="12" t="s">
        <v>230</v>
      </c>
      <c r="K67" s="11" t="s">
        <v>22</v>
      </c>
      <c r="L67" s="17" t="s">
        <v>228</v>
      </c>
      <c r="M67" s="17"/>
      <c r="N67" s="17"/>
      <c r="O67" s="17"/>
      <c r="P67" s="17"/>
      <c r="Q67" s="17"/>
      <c r="R67" s="17"/>
      <c r="S67" s="9">
        <v>672.4</v>
      </c>
      <c r="T67" s="14" t="str">
        <f t="shared" ref="T67:T79" si="1">IF(K67="Pix",L67,IF(LEFT(P67,5)="CAIXA","CAIXA"&amp;" - "&amp;N67&amp;" - "&amp;Q67&amp;"-"&amp;R67&amp;" - "&amp;J67,P67&amp;" - "&amp;N67&amp;" - "&amp;Q67&amp;"-"&amp;R67&amp;" - "&amp;J67))</f>
        <v>Celular: 31971706400</v>
      </c>
    </row>
    <row r="68" spans="1:20" ht="12.6" customHeight="1" x14ac:dyDescent="0.2">
      <c r="A68" s="13" t="s">
        <v>208</v>
      </c>
      <c r="B68" s="8">
        <v>35</v>
      </c>
      <c r="C68" s="11" t="s">
        <v>27</v>
      </c>
      <c r="D68" s="11" t="s">
        <v>209</v>
      </c>
      <c r="E68" s="6" t="s">
        <v>20</v>
      </c>
      <c r="F68" s="7">
        <v>45766</v>
      </c>
      <c r="G68" s="11" t="s">
        <v>24</v>
      </c>
      <c r="H68" s="8">
        <v>6</v>
      </c>
      <c r="I68" s="11" t="s">
        <v>231</v>
      </c>
      <c r="J68" s="12" t="s">
        <v>234</v>
      </c>
      <c r="K68" s="10" t="s">
        <v>119</v>
      </c>
      <c r="L68" s="4" t="s">
        <v>127</v>
      </c>
      <c r="M68" s="5" t="s">
        <v>118</v>
      </c>
      <c r="N68" s="6" t="s">
        <v>232</v>
      </c>
      <c r="O68" s="6" t="s">
        <v>122</v>
      </c>
      <c r="P68" s="11" t="s">
        <v>124</v>
      </c>
      <c r="Q68" s="11" t="s">
        <v>235</v>
      </c>
      <c r="R68" s="6" t="s">
        <v>233</v>
      </c>
      <c r="S68" s="9">
        <v>672.4</v>
      </c>
      <c r="T68" s="14" t="str">
        <f t="shared" si="1"/>
        <v>CAIXA - 0892 - 00113057-1 - 879.421.196-53</v>
      </c>
    </row>
    <row r="69" spans="1:20" ht="15" customHeight="1" x14ac:dyDescent="0.2">
      <c r="A69" s="2" t="s">
        <v>16</v>
      </c>
      <c r="B69" s="1" t="s">
        <v>15</v>
      </c>
      <c r="C69" s="2" t="s">
        <v>17</v>
      </c>
      <c r="D69" s="2" t="s">
        <v>18</v>
      </c>
      <c r="E69" s="1" t="s">
        <v>13</v>
      </c>
      <c r="F69" s="1" t="s">
        <v>1</v>
      </c>
      <c r="G69" s="2" t="s">
        <v>14</v>
      </c>
      <c r="H69" s="1" t="s">
        <v>0</v>
      </c>
      <c r="I69" s="2" t="s">
        <v>3</v>
      </c>
      <c r="J69" s="1" t="s">
        <v>11</v>
      </c>
      <c r="K69" s="2" t="s">
        <v>4</v>
      </c>
      <c r="L69" s="2" t="s">
        <v>5</v>
      </c>
      <c r="M69" s="1" t="s">
        <v>6</v>
      </c>
      <c r="N69" s="1" t="s">
        <v>7</v>
      </c>
      <c r="O69" s="1" t="s">
        <v>8</v>
      </c>
      <c r="P69" s="2" t="s">
        <v>9</v>
      </c>
      <c r="Q69" s="2" t="s">
        <v>12</v>
      </c>
      <c r="R69" s="1" t="s">
        <v>10</v>
      </c>
      <c r="S69" s="3" t="s">
        <v>2</v>
      </c>
      <c r="T69" s="14" t="str">
        <f t="shared" si="1"/>
        <v>Nome Banco - Agência - N° Conta-Dig. Conta - CPF</v>
      </c>
    </row>
    <row r="70" spans="1:20" ht="12.6" customHeight="1" x14ac:dyDescent="0.2">
      <c r="A70" s="13" t="s">
        <v>239</v>
      </c>
      <c r="B70" s="8">
        <v>36</v>
      </c>
      <c r="C70" s="11" t="s">
        <v>241</v>
      </c>
      <c r="D70" s="11" t="s">
        <v>240</v>
      </c>
      <c r="E70" s="6" t="s">
        <v>20</v>
      </c>
      <c r="F70" s="7">
        <v>45766</v>
      </c>
      <c r="G70" s="11" t="s">
        <v>24</v>
      </c>
      <c r="H70" s="8">
        <v>1</v>
      </c>
      <c r="I70" s="11" t="s">
        <v>237</v>
      </c>
      <c r="J70" s="12" t="s">
        <v>238</v>
      </c>
      <c r="K70" s="11" t="s">
        <v>22</v>
      </c>
      <c r="L70" s="17" t="s">
        <v>236</v>
      </c>
      <c r="M70" s="17"/>
      <c r="N70" s="17"/>
      <c r="O70" s="17"/>
      <c r="P70" s="17"/>
      <c r="Q70" s="17"/>
      <c r="R70" s="17"/>
      <c r="S70" s="9">
        <v>2301.1999999999998</v>
      </c>
      <c r="T70" s="14" t="str">
        <f t="shared" si="1"/>
        <v>CPF: 036.120.836-78</v>
      </c>
    </row>
    <row r="71" spans="1:20" ht="12.6" customHeight="1" x14ac:dyDescent="0.2">
      <c r="A71" s="13" t="s">
        <v>239</v>
      </c>
      <c r="B71" s="8">
        <v>36</v>
      </c>
      <c r="C71" s="11" t="s">
        <v>241</v>
      </c>
      <c r="D71" s="11" t="s">
        <v>240</v>
      </c>
      <c r="E71" s="6" t="s">
        <v>20</v>
      </c>
      <c r="F71" s="7">
        <v>45766</v>
      </c>
      <c r="G71" s="11" t="s">
        <v>24</v>
      </c>
      <c r="H71" s="8">
        <v>5</v>
      </c>
      <c r="I71" s="11" t="s">
        <v>243</v>
      </c>
      <c r="J71" s="12" t="s">
        <v>244</v>
      </c>
      <c r="K71" s="11" t="s">
        <v>22</v>
      </c>
      <c r="L71" s="17" t="s">
        <v>242</v>
      </c>
      <c r="M71" s="17"/>
      <c r="N71" s="17"/>
      <c r="O71" s="17"/>
      <c r="P71" s="17"/>
      <c r="Q71" s="17"/>
      <c r="R71" s="17"/>
      <c r="S71" s="9">
        <v>1156</v>
      </c>
      <c r="T71" s="14" t="str">
        <f t="shared" si="1"/>
        <v>Celular: 31988845356</v>
      </c>
    </row>
    <row r="72" spans="1:20" ht="12.6" customHeight="1" x14ac:dyDescent="0.2">
      <c r="A72" s="13" t="s">
        <v>239</v>
      </c>
      <c r="B72" s="8">
        <v>36</v>
      </c>
      <c r="C72" s="11" t="s">
        <v>241</v>
      </c>
      <c r="D72" s="11" t="s">
        <v>240</v>
      </c>
      <c r="E72" s="6" t="s">
        <v>20</v>
      </c>
      <c r="F72" s="7">
        <v>45766</v>
      </c>
      <c r="G72" s="11" t="s">
        <v>24</v>
      </c>
      <c r="H72" s="8">
        <v>2</v>
      </c>
      <c r="I72" s="11" t="s">
        <v>246</v>
      </c>
      <c r="J72" s="12" t="s">
        <v>247</v>
      </c>
      <c r="K72" s="11" t="s">
        <v>22</v>
      </c>
      <c r="L72" s="17" t="s">
        <v>245</v>
      </c>
      <c r="M72" s="17"/>
      <c r="N72" s="17"/>
      <c r="O72" s="17"/>
      <c r="P72" s="17"/>
      <c r="Q72" s="17"/>
      <c r="R72" s="17"/>
      <c r="S72" s="9">
        <v>979.6</v>
      </c>
      <c r="T72" s="14" t="str">
        <f t="shared" si="1"/>
        <v>CPF: 932.616.166-87</v>
      </c>
    </row>
    <row r="73" spans="1:20" ht="12.6" customHeight="1" x14ac:dyDescent="0.2">
      <c r="A73" s="13" t="s">
        <v>239</v>
      </c>
      <c r="B73" s="8">
        <v>36</v>
      </c>
      <c r="C73" s="11" t="s">
        <v>241</v>
      </c>
      <c r="D73" s="11" t="s">
        <v>240</v>
      </c>
      <c r="E73" s="6" t="s">
        <v>20</v>
      </c>
      <c r="F73" s="7">
        <v>45766</v>
      </c>
      <c r="G73" s="11" t="s">
        <v>24</v>
      </c>
      <c r="H73" s="8">
        <v>3</v>
      </c>
      <c r="I73" s="11" t="s">
        <v>249</v>
      </c>
      <c r="J73" s="12" t="s">
        <v>250</v>
      </c>
      <c r="K73" s="11" t="s">
        <v>22</v>
      </c>
      <c r="L73" s="17" t="s">
        <v>248</v>
      </c>
      <c r="M73" s="17"/>
      <c r="N73" s="17"/>
      <c r="O73" s="17"/>
      <c r="P73" s="17"/>
      <c r="Q73" s="17"/>
      <c r="R73" s="17"/>
      <c r="S73" s="9">
        <v>854.8</v>
      </c>
      <c r="T73" s="14" t="str">
        <f t="shared" si="1"/>
        <v>CPF: 107.926.396-93</v>
      </c>
    </row>
    <row r="74" spans="1:20" ht="12.6" customHeight="1" x14ac:dyDescent="0.2">
      <c r="A74" s="13" t="s">
        <v>239</v>
      </c>
      <c r="B74" s="8">
        <v>36</v>
      </c>
      <c r="C74" s="11" t="s">
        <v>241</v>
      </c>
      <c r="D74" s="11" t="s">
        <v>240</v>
      </c>
      <c r="E74" s="6" t="s">
        <v>20</v>
      </c>
      <c r="F74" s="7">
        <v>45766</v>
      </c>
      <c r="G74" s="11" t="s">
        <v>24</v>
      </c>
      <c r="H74" s="8">
        <v>4</v>
      </c>
      <c r="I74" s="11" t="s">
        <v>252</v>
      </c>
      <c r="J74" s="12" t="s">
        <v>253</v>
      </c>
      <c r="K74" s="11" t="s">
        <v>22</v>
      </c>
      <c r="L74" s="17" t="s">
        <v>251</v>
      </c>
      <c r="M74" s="17"/>
      <c r="N74" s="17"/>
      <c r="O74" s="17"/>
      <c r="P74" s="17"/>
      <c r="Q74" s="17"/>
      <c r="R74" s="17"/>
      <c r="S74" s="9">
        <v>854.8</v>
      </c>
      <c r="T74" s="14" t="str">
        <f t="shared" si="1"/>
        <v>CPF: 981.967.587-15</v>
      </c>
    </row>
    <row r="75" spans="1:20" ht="12.6" customHeight="1" x14ac:dyDescent="0.2">
      <c r="A75" s="13" t="s">
        <v>239</v>
      </c>
      <c r="B75" s="8">
        <v>36</v>
      </c>
      <c r="C75" s="11" t="s">
        <v>241</v>
      </c>
      <c r="D75" s="11" t="s">
        <v>240</v>
      </c>
      <c r="E75" s="6" t="s">
        <v>20</v>
      </c>
      <c r="F75" s="7">
        <v>45766</v>
      </c>
      <c r="G75" s="11" t="s">
        <v>24</v>
      </c>
      <c r="H75" s="8">
        <v>6</v>
      </c>
      <c r="I75" s="11" t="s">
        <v>255</v>
      </c>
      <c r="J75" s="12" t="s">
        <v>256</v>
      </c>
      <c r="K75" s="11" t="s">
        <v>22</v>
      </c>
      <c r="L75" s="17" t="s">
        <v>254</v>
      </c>
      <c r="M75" s="17"/>
      <c r="N75" s="17"/>
      <c r="O75" s="17"/>
      <c r="P75" s="17"/>
      <c r="Q75" s="17"/>
      <c r="R75" s="17"/>
      <c r="S75" s="9">
        <v>672.4</v>
      </c>
      <c r="T75" s="14" t="str">
        <f t="shared" si="1"/>
        <v>Celular: 38997371226</v>
      </c>
    </row>
    <row r="76" spans="1:20" ht="15" customHeight="1" x14ac:dyDescent="0.2">
      <c r="A76" s="2" t="s">
        <v>16</v>
      </c>
      <c r="B76" s="1" t="s">
        <v>15</v>
      </c>
      <c r="C76" s="2" t="s">
        <v>17</v>
      </c>
      <c r="D76" s="2" t="s">
        <v>18</v>
      </c>
      <c r="E76" s="1" t="s">
        <v>13</v>
      </c>
      <c r="F76" s="1" t="s">
        <v>1</v>
      </c>
      <c r="G76" s="2" t="s">
        <v>14</v>
      </c>
      <c r="H76" s="1" t="s">
        <v>0</v>
      </c>
      <c r="I76" s="2" t="s">
        <v>3</v>
      </c>
      <c r="J76" s="1" t="s">
        <v>11</v>
      </c>
      <c r="K76" s="2" t="s">
        <v>4</v>
      </c>
      <c r="L76" s="2" t="s">
        <v>5</v>
      </c>
      <c r="M76" s="1" t="s">
        <v>6</v>
      </c>
      <c r="N76" s="1" t="s">
        <v>7</v>
      </c>
      <c r="O76" s="1" t="s">
        <v>8</v>
      </c>
      <c r="P76" s="2" t="s">
        <v>9</v>
      </c>
      <c r="Q76" s="2" t="s">
        <v>12</v>
      </c>
      <c r="R76" s="1" t="s">
        <v>10</v>
      </c>
      <c r="S76" s="3" t="s">
        <v>2</v>
      </c>
      <c r="T76" s="14" t="str">
        <f t="shared" si="1"/>
        <v>Nome Banco - Agência - N° Conta-Dig. Conta - CPF</v>
      </c>
    </row>
    <row r="77" spans="1:20" ht="12.6" customHeight="1" x14ac:dyDescent="0.2">
      <c r="A77" s="13" t="s">
        <v>260</v>
      </c>
      <c r="B77" s="8">
        <v>37</v>
      </c>
      <c r="C77" s="11" t="s">
        <v>27</v>
      </c>
      <c r="D77" s="11" t="s">
        <v>261</v>
      </c>
      <c r="E77" s="6" t="s">
        <v>20</v>
      </c>
      <c r="F77" s="7">
        <v>45766</v>
      </c>
      <c r="G77" s="11" t="s">
        <v>24</v>
      </c>
      <c r="H77" s="8">
        <v>2</v>
      </c>
      <c r="I77" s="11" t="s">
        <v>258</v>
      </c>
      <c r="J77" s="12" t="s">
        <v>259</v>
      </c>
      <c r="K77" s="11" t="s">
        <v>22</v>
      </c>
      <c r="L77" s="17" t="s">
        <v>257</v>
      </c>
      <c r="M77" s="17"/>
      <c r="N77" s="17"/>
      <c r="O77" s="17"/>
      <c r="P77" s="17"/>
      <c r="Q77" s="17"/>
      <c r="R77" s="17"/>
      <c r="S77" s="9">
        <v>1156</v>
      </c>
      <c r="T77" s="14" t="str">
        <f t="shared" si="1"/>
        <v>CPF: 034.352.976-97</v>
      </c>
    </row>
    <row r="78" spans="1:20" ht="12.6" customHeight="1" x14ac:dyDescent="0.2">
      <c r="A78" s="13" t="s">
        <v>260</v>
      </c>
      <c r="B78" s="8">
        <v>37</v>
      </c>
      <c r="C78" s="11" t="s">
        <v>27</v>
      </c>
      <c r="D78" s="11" t="s">
        <v>261</v>
      </c>
      <c r="E78" s="6" t="s">
        <v>20</v>
      </c>
      <c r="F78" s="7">
        <v>45766</v>
      </c>
      <c r="G78" s="11" t="s">
        <v>24</v>
      </c>
      <c r="H78" s="8">
        <v>1</v>
      </c>
      <c r="I78" s="11" t="s">
        <v>263</v>
      </c>
      <c r="J78" s="12" t="s">
        <v>264</v>
      </c>
      <c r="K78" s="11" t="s">
        <v>22</v>
      </c>
      <c r="L78" s="17" t="s">
        <v>262</v>
      </c>
      <c r="M78" s="17"/>
      <c r="N78" s="17"/>
      <c r="O78" s="17"/>
      <c r="P78" s="17"/>
      <c r="Q78" s="17"/>
      <c r="R78" s="17"/>
      <c r="S78" s="9">
        <v>854.8</v>
      </c>
      <c r="T78" s="14" t="str">
        <f t="shared" si="1"/>
        <v>Celular: 31995062139</v>
      </c>
    </row>
    <row r="79" spans="1:20" ht="12.6" customHeight="1" x14ac:dyDescent="0.2">
      <c r="A79" s="13" t="s">
        <v>260</v>
      </c>
      <c r="B79" s="8">
        <v>37</v>
      </c>
      <c r="C79" s="11" t="s">
        <v>27</v>
      </c>
      <c r="D79" s="11" t="s">
        <v>261</v>
      </c>
      <c r="E79" s="6" t="s">
        <v>20</v>
      </c>
      <c r="F79" s="7">
        <v>45766</v>
      </c>
      <c r="G79" s="11" t="s">
        <v>24</v>
      </c>
      <c r="H79" s="8">
        <v>3</v>
      </c>
      <c r="I79" s="11" t="s">
        <v>265</v>
      </c>
      <c r="J79" s="12" t="s">
        <v>268</v>
      </c>
      <c r="K79" s="10" t="s">
        <v>119</v>
      </c>
      <c r="L79" s="4" t="s">
        <v>127</v>
      </c>
      <c r="M79" s="5" t="s">
        <v>118</v>
      </c>
      <c r="N79" s="6" t="s">
        <v>266</v>
      </c>
      <c r="O79" s="6" t="s">
        <v>122</v>
      </c>
      <c r="P79" s="11" t="s">
        <v>124</v>
      </c>
      <c r="Q79" s="11" t="s">
        <v>269</v>
      </c>
      <c r="R79" s="6" t="s">
        <v>267</v>
      </c>
      <c r="S79" s="9">
        <v>2080</v>
      </c>
      <c r="T79" s="14" t="str">
        <f t="shared" si="1"/>
        <v>CAIXA - 1422 - 00829287046-4 - 843.865.176-34</v>
      </c>
    </row>
  </sheetData>
  <mergeCells count="64">
    <mergeCell ref="L2:R2"/>
    <mergeCell ref="L3:R3"/>
    <mergeCell ref="L4:R4"/>
    <mergeCell ref="L5:R5"/>
    <mergeCell ref="L6:R6"/>
    <mergeCell ref="L7:R7"/>
    <mergeCell ref="L9:R9"/>
    <mergeCell ref="L10:R10"/>
    <mergeCell ref="L11:R11"/>
    <mergeCell ref="L12:R12"/>
    <mergeCell ref="L13:R13"/>
    <mergeCell ref="L14:R14"/>
    <mergeCell ref="L16:R16"/>
    <mergeCell ref="L17:R17"/>
    <mergeCell ref="L18:R18"/>
    <mergeCell ref="L19:R19"/>
    <mergeCell ref="L20:R20"/>
    <mergeCell ref="L21:R21"/>
    <mergeCell ref="L23:R23"/>
    <mergeCell ref="L24:R24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6:R36"/>
    <mergeCell ref="L37:R37"/>
    <mergeCell ref="L38:R38"/>
    <mergeCell ref="L39:R39"/>
    <mergeCell ref="L40:R40"/>
    <mergeCell ref="L41:R41"/>
    <mergeCell ref="L43:R43"/>
    <mergeCell ref="L44:R44"/>
    <mergeCell ref="L45:R45"/>
    <mergeCell ref="L46:R46"/>
    <mergeCell ref="L47:R47"/>
    <mergeCell ref="L48:R48"/>
    <mergeCell ref="L49:R49"/>
    <mergeCell ref="L50:R50"/>
    <mergeCell ref="L51:R51"/>
    <mergeCell ref="L52:R52"/>
    <mergeCell ref="L55:R55"/>
    <mergeCell ref="L56:R56"/>
    <mergeCell ref="L57:R57"/>
    <mergeCell ref="L60:R60"/>
    <mergeCell ref="L61:R61"/>
    <mergeCell ref="L62:R62"/>
    <mergeCell ref="L63:R63"/>
    <mergeCell ref="L64:R64"/>
    <mergeCell ref="L65:R65"/>
    <mergeCell ref="L74:R74"/>
    <mergeCell ref="L75:R75"/>
    <mergeCell ref="L77:R77"/>
    <mergeCell ref="L78:R78"/>
    <mergeCell ref="L66:R66"/>
    <mergeCell ref="L67:R67"/>
    <mergeCell ref="L70:R70"/>
    <mergeCell ref="L71:R71"/>
    <mergeCell ref="L72:R72"/>
    <mergeCell ref="L73:R73"/>
  </mergeCells>
  <pageMargins left="0.75" right="0.78740157499999996" top="1" bottom="0.75" header="0.5" footer="0.5"/>
  <pageSetup paperSize="9" fitToWidth="0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Conferência - Contas a Pagar 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Planejamento</dc:creator>
  <cp:lastModifiedBy>Obras</cp:lastModifiedBy>
  <dcterms:created xsi:type="dcterms:W3CDTF">2025-04-24T21:31:53Z</dcterms:created>
  <dcterms:modified xsi:type="dcterms:W3CDTF">2025-04-30T21:58:23Z</dcterms:modified>
</cp:coreProperties>
</file>