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OneDrive\Área de Trabalho\GILMAR ALMEIDA\"/>
    </mc:Choice>
  </mc:AlternateContent>
  <xr:revisionPtr revIDLastSave="0" documentId="13_ncr:1_{CBA03A15-925F-43E0-A6D7-39658DB5258D}" xr6:coauthVersionLast="47" xr6:coauthVersionMax="47" xr10:uidLastSave="{00000000-0000-0000-0000-000000000000}"/>
  <bookViews>
    <workbookView xWindow="-120" yWindow="-120" windowWidth="29040" windowHeight="15840" xr2:uid="{222CAC2A-0035-4F43-B95F-78F5E50395D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H14" i="1"/>
  <c r="I14" i="1" s="1"/>
  <c r="H15" i="1"/>
  <c r="I15" i="1" s="1"/>
  <c r="G5" i="1"/>
  <c r="G6" i="1"/>
  <c r="G7" i="1"/>
  <c r="G8" i="1"/>
  <c r="G9" i="1"/>
  <c r="G10" i="1"/>
  <c r="G11" i="1"/>
  <c r="G12" i="1"/>
  <c r="G13" i="1"/>
  <c r="G14" i="1"/>
  <c r="G15" i="1"/>
  <c r="I13" i="1" l="1"/>
  <c r="I16" i="1"/>
</calcChain>
</file>

<file path=xl/sharedStrings.xml><?xml version="1.0" encoding="utf-8"?>
<sst xmlns="http://schemas.openxmlformats.org/spreadsheetml/2006/main" count="35" uniqueCount="34">
  <si>
    <t>TOTAL</t>
  </si>
  <si>
    <t>CPF</t>
  </si>
  <si>
    <t>VALOR TRANSPORTE</t>
  </si>
  <si>
    <t>DIAS</t>
  </si>
  <si>
    <t>VALOR CAFÉ</t>
  </si>
  <si>
    <t>TOTAL TRANSPORTE</t>
  </si>
  <si>
    <t>TOTAL CAFÉ</t>
  </si>
  <si>
    <t>DADOS BANCARIOS</t>
  </si>
  <si>
    <t>NOME</t>
  </si>
  <si>
    <t xml:space="preserve">RELATÓRIO </t>
  </si>
  <si>
    <t>GILMAR ALMEIDA PORTUGAL</t>
  </si>
  <si>
    <t>ENDEREÇO: RUA LIRIO DO AMANHA N° 85, VALE DOS CRISTAIS</t>
  </si>
  <si>
    <t>MARCO ANTONIO DE OLIVEIRA</t>
  </si>
  <si>
    <t>660.161.186-72</t>
  </si>
  <si>
    <t>RONEY GIL NUNES</t>
  </si>
  <si>
    <t>040.832.786-33</t>
  </si>
  <si>
    <t>JOSE DO CARMO ROSA</t>
  </si>
  <si>
    <t>009.779.647-60</t>
  </si>
  <si>
    <t>ANTONIO TRINDADE FERNANDES</t>
  </si>
  <si>
    <t>542.282.556-04</t>
  </si>
  <si>
    <t>MARCOS VINICIUS BISPO CORREIA</t>
  </si>
  <si>
    <t>122.353.036-17</t>
  </si>
  <si>
    <t>OSMAR GERALDO DA SILVA</t>
  </si>
  <si>
    <t>032.137.136-43</t>
  </si>
  <si>
    <t>MATEUS HENRIQUE RODRIGUES</t>
  </si>
  <si>
    <t>167.009.146-55</t>
  </si>
  <si>
    <t>ADRIEN FELIPE NERES RODRIGUES</t>
  </si>
  <si>
    <t>167.009.556-88</t>
  </si>
  <si>
    <t>ADEILTON ALVES DA CONCEIÇÃO</t>
  </si>
  <si>
    <t>031.201.535-67</t>
  </si>
  <si>
    <t>DORGIVAL PORTACIO DOS SANTOS</t>
  </si>
  <si>
    <t>846.553.642-20</t>
  </si>
  <si>
    <t>ADAILSON SILVA NOVAIS</t>
  </si>
  <si>
    <t>034.735.096-80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</si>
</sst>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theme="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8" tint="-0.499984740745262"/>
      <name val="Arial"/>
      <family val="2"/>
    </font>
    <font>
      <b/>
      <sz val="18"/>
      <color theme="3"/>
      <name val="Arial"/>
      <family val="2"/>
    </font>
    <font>
      <b/>
      <sz val="18"/>
      <color theme="4" tint="-0.249977111117893"/>
      <name val="Arial"/>
      <family val="2"/>
    </font>
    <font>
      <sz val="17"/>
      <color theme="3" tint="-0.249977111117893"/>
      <name val="Calibri"/>
      <family val="2"/>
      <scheme val="minor"/>
    </font>
    <font>
      <b/>
      <sz val="15"/>
      <color theme="3"/>
      <name val="Arial"/>
      <family val="2"/>
    </font>
    <font>
      <sz val="17"/>
      <color theme="1"/>
      <name val="Calibri"/>
      <family val="2"/>
      <scheme val="minor"/>
    </font>
    <font>
      <b/>
      <sz val="17"/>
      <name val="Arial"/>
      <family val="2"/>
    </font>
    <font>
      <sz val="17"/>
      <name val="Calibri"/>
      <family val="2"/>
    </font>
    <font>
      <sz val="17"/>
      <name val="Calibri"/>
      <family val="2"/>
      <scheme val="minor"/>
    </font>
    <font>
      <b/>
      <sz val="26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1">
    <xf numFmtId="0" fontId="0" fillId="0" borderId="0" xfId="0"/>
    <xf numFmtId="0" fontId="2" fillId="4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44" fontId="2" fillId="4" borderId="7" xfId="0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 wrapText="1"/>
    </xf>
    <xf numFmtId="0" fontId="17" fillId="0" borderId="1" xfId="2" applyNumberFormat="1" applyFont="1" applyFill="1" applyBorder="1" applyAlignment="1">
      <alignment horizontal="center" vertical="center"/>
    </xf>
    <xf numFmtId="44" fontId="17" fillId="0" borderId="7" xfId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44" fontId="17" fillId="0" borderId="1" xfId="0" applyNumberFormat="1" applyFont="1" applyBorder="1" applyAlignment="1">
      <alignment vertical="center"/>
    </xf>
    <xf numFmtId="44" fontId="17" fillId="3" borderId="1" xfId="0" applyNumberFormat="1" applyFont="1" applyFill="1" applyBorder="1" applyAlignment="1">
      <alignment vertical="center"/>
    </xf>
    <xf numFmtId="44" fontId="14" fillId="3" borderId="7" xfId="0" applyNumberFormat="1" applyFont="1" applyFill="1" applyBorder="1" applyAlignment="1">
      <alignment vertical="center"/>
    </xf>
    <xf numFmtId="44" fontId="14" fillId="0" borderId="1" xfId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vertical="center"/>
    </xf>
    <xf numFmtId="44" fontId="12" fillId="0" borderId="9" xfId="1" applyFont="1" applyFill="1" applyBorder="1" applyAlignment="1">
      <alignment horizontal="center" vertical="center" wrapText="1"/>
    </xf>
    <xf numFmtId="44" fontId="14" fillId="3" borderId="1" xfId="1" applyFont="1" applyFill="1" applyBorder="1" applyAlignment="1">
      <alignment horizontal="left" vertical="center" wrapText="1"/>
    </xf>
    <xf numFmtId="44" fontId="14" fillId="0" borderId="9" xfId="1" applyFont="1" applyFill="1" applyBorder="1" applyAlignment="1">
      <alignment horizontal="left" vertical="center" wrapText="1"/>
    </xf>
    <xf numFmtId="44" fontId="14" fillId="3" borderId="9" xfId="1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4" fontId="15" fillId="3" borderId="8" xfId="0" applyNumberFormat="1" applyFont="1" applyFill="1" applyBorder="1" applyAlignment="1">
      <alignment horizontal="right" vertical="center"/>
    </xf>
    <xf numFmtId="14" fontId="15" fillId="3" borderId="9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</cellXfs>
  <cellStyles count="3">
    <cellStyle name="Moeda" xfId="1" builtinId="4"/>
    <cellStyle name="Moeda 2" xfId="2" xr:uid="{36F88A72-B06A-4A81-8006-522A7EC64165}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3" tint="-0.249977111117893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7"/>
        <name val="Calibri"/>
        <family val="2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5E098-9242-4D3A-B00A-33B7F2D86414}" name="Tabela13882142026323844505662687480869298104110116122128" displayName="Tabela13882142026323844505662687480869298104110116122128" ref="B4:J16" totalsRowCount="1" headerRowDxfId="22" dataDxfId="20" headerRowBorderDxfId="21" tableBorderDxfId="19" totalsRowBorderDxfId="18">
  <autoFilter ref="B4:J15" xr:uid="{D4C5E098-9242-4D3A-B00A-33B7F2D86414}"/>
  <sortState xmlns:xlrd2="http://schemas.microsoft.com/office/spreadsheetml/2017/richdata2" ref="B5:J15">
    <sortCondition ref="B4:B15"/>
  </sortState>
  <tableColumns count="9">
    <tableColumn id="1" xr3:uid="{69D1CA8F-5CE4-4C9B-93D8-4A0441E771CD}" name="NOME" totalsRowLabel="TOTAL" dataDxfId="17" totalsRowDxfId="8"/>
    <tableColumn id="2" xr3:uid="{D2B1AEF4-3FC6-4B59-ABA8-74ED3D2731D4}" name="CPF" dataDxfId="16" totalsRowDxfId="7" dataCellStyle="Moeda"/>
    <tableColumn id="3" xr3:uid="{FAF526E6-61CF-4507-96B5-69201CE937E2}" name="DIAS" dataDxfId="15" totalsRowDxfId="6" dataCellStyle="Moeda 2"/>
    <tableColumn id="4" xr3:uid="{1EE208F8-7DF5-4F4C-8AB5-9B5ED9F7D641}" name="VALOR TRANSPORTE" dataDxfId="14" totalsRowDxfId="5" dataCellStyle="Moeda"/>
    <tableColumn id="5" xr3:uid="{B2CD75D4-0637-4A04-80BE-72C6002A7E28}" name="VALOR CAFÉ" dataDxfId="13" totalsRowDxfId="4" dataCellStyle="Moeda"/>
    <tableColumn id="6" xr3:uid="{3C5E4ACC-2742-4ED5-AD0B-186263845C21}" name="TOTAL TRANSPORTE" dataDxfId="12" totalsRowDxfId="3">
      <calculatedColumnFormula>Tabela13882142026323844505662687480869298104110116122128[[#This Row],[VALOR TRANSPORTE]]*Tabela13882142026323844505662687480869298104110116122128[[#This Row],[DIAS]]</calculatedColumnFormula>
    </tableColumn>
    <tableColumn id="7" xr3:uid="{D11197C1-2D20-4F43-8A01-2FC8DCEC7F17}" name="TOTAL CAFÉ" dataDxfId="11" totalsRowDxfId="2">
      <calculatedColumnFormula>Tabela13882142026323844505662687480869298104110116122128[[#This Row],[VALOR CAFÉ]]*Tabela13882142026323844505662687480869298104110116122128[[#This Row],[DIAS]]</calculatedColumnFormula>
    </tableColumn>
    <tableColumn id="8" xr3:uid="{C4265FA6-8857-4CE2-85EE-2BF83596E70A}" name="TOTAL" totalsRowFunction="sum" dataDxfId="10" totalsRowDxfId="1">
      <calculatedColumnFormula>Tabela13882142026323844505662687480869298104110116122128[[#This Row],[TOTAL CAFÉ]]+Tabela13882142026323844505662687480869298104110116122128[[#This Row],[TOTAL TRANSPORTE]]</calculatedColumnFormula>
    </tableColumn>
    <tableColumn id="9" xr3:uid="{9FEBD466-C894-4CB6-B800-B7F798E04D3C}" name="DADOS BANCARIOS" dataDxfId="9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677-E06B-4D1E-ADAD-5E6ABF4BEB55}">
  <sheetPr>
    <pageSetUpPr fitToPage="1"/>
  </sheetPr>
  <dimension ref="B1:J18"/>
  <sheetViews>
    <sheetView tabSelected="1" zoomScale="69" zoomScaleNormal="69" workbookViewId="0">
      <selection activeCell="F25" sqref="F25"/>
    </sheetView>
  </sheetViews>
  <sheetFormatPr defaultColWidth="9.140625" defaultRowHeight="21" x14ac:dyDescent="0.25"/>
  <cols>
    <col min="1" max="1" width="1" style="2" customWidth="1"/>
    <col min="2" max="2" width="49.42578125" style="2" bestFit="1" customWidth="1"/>
    <col min="3" max="9" width="30.7109375" style="2" customWidth="1"/>
    <col min="10" max="10" width="69.42578125" style="2" bestFit="1" customWidth="1"/>
    <col min="11" max="11" width="10" style="2" bestFit="1" customWidth="1"/>
    <col min="12" max="16384" width="9.140625" style="2"/>
  </cols>
  <sheetData>
    <row r="1" spans="2:10" ht="60" customHeight="1" x14ac:dyDescent="0.25">
      <c r="B1" s="37" t="s">
        <v>10</v>
      </c>
      <c r="C1" s="38"/>
      <c r="D1" s="38"/>
      <c r="E1" s="38"/>
      <c r="F1" s="38"/>
      <c r="G1" s="38"/>
      <c r="H1" s="38"/>
      <c r="I1" s="38"/>
      <c r="J1" s="38"/>
    </row>
    <row r="2" spans="2:10" ht="43.5" customHeight="1" x14ac:dyDescent="0.25">
      <c r="B2" s="32" t="s">
        <v>11</v>
      </c>
      <c r="C2" s="33"/>
      <c r="D2" s="33"/>
      <c r="E2" s="33"/>
      <c r="F2" s="33"/>
      <c r="G2" s="33"/>
      <c r="H2" s="33"/>
      <c r="I2" s="33"/>
      <c r="J2" s="34"/>
    </row>
    <row r="3" spans="2:10" ht="40.5" customHeight="1" x14ac:dyDescent="0.25">
      <c r="B3" s="39" t="s">
        <v>9</v>
      </c>
      <c r="C3" s="40"/>
      <c r="D3" s="40"/>
      <c r="E3" s="40"/>
      <c r="F3" s="40"/>
      <c r="G3" s="35">
        <v>45843</v>
      </c>
      <c r="H3" s="35"/>
      <c r="I3" s="35"/>
      <c r="J3" s="36"/>
    </row>
    <row r="4" spans="2:10" s="3" customFormat="1" ht="60" customHeight="1" x14ac:dyDescent="0.25">
      <c r="B4" s="10" t="s">
        <v>8</v>
      </c>
      <c r="C4" s="11" t="s">
        <v>1</v>
      </c>
      <c r="D4" s="11" t="s">
        <v>3</v>
      </c>
      <c r="E4" s="12" t="s">
        <v>2</v>
      </c>
      <c r="F4" s="11" t="s">
        <v>4</v>
      </c>
      <c r="G4" s="11" t="s">
        <v>5</v>
      </c>
      <c r="H4" s="11" t="s">
        <v>6</v>
      </c>
      <c r="I4" s="12" t="s">
        <v>0</v>
      </c>
      <c r="J4" s="13" t="s">
        <v>7</v>
      </c>
    </row>
    <row r="5" spans="2:10" s="4" customFormat="1" ht="48" customHeight="1" x14ac:dyDescent="0.25">
      <c r="B5" s="18" t="s">
        <v>32</v>
      </c>
      <c r="C5" s="14" t="s">
        <v>33</v>
      </c>
      <c r="D5" s="19">
        <v>1</v>
      </c>
      <c r="E5" s="20">
        <v>51.9</v>
      </c>
      <c r="F5" s="21">
        <v>6</v>
      </c>
      <c r="G5" s="22">
        <f>Tabela13882142026323844505662687480869298104110116122128[[#This Row],[VALOR TRANSPORTE]]*Tabela13882142026323844505662687480869298104110116122128[[#This Row],[DIAS]]</f>
        <v>51.9</v>
      </c>
      <c r="H5" s="23">
        <f>Tabela13882142026323844505662687480869298104110116122128[[#This Row],[VALOR CAFÉ]]*Tabela13882142026323844505662687480869298104110116122128[[#This Row],[DIAS]]</f>
        <v>6</v>
      </c>
      <c r="I5" s="24">
        <f>Tabela13882142026323844505662687480869298104110116122128[[#This Row],[TOTAL CAFÉ]]+Tabela13882142026323844505662687480869298104110116122128[[#This Row],[TOTAL TRANSPORTE]]</f>
        <v>57.9</v>
      </c>
      <c r="J5" s="29"/>
    </row>
    <row r="6" spans="2:10" s="4" customFormat="1" ht="48" customHeight="1" x14ac:dyDescent="0.25">
      <c r="B6" s="26" t="s">
        <v>28</v>
      </c>
      <c r="C6" s="28" t="s">
        <v>29</v>
      </c>
      <c r="D6" s="19">
        <v>22</v>
      </c>
      <c r="E6" s="20">
        <v>52.4</v>
      </c>
      <c r="F6" s="21">
        <v>6</v>
      </c>
      <c r="G6" s="22">
        <f>Tabela13882142026323844505662687480869298104110116122128[[#This Row],[VALOR TRANSPORTE]]*Tabela13882142026323844505662687480869298104110116122128[[#This Row],[DIAS]]</f>
        <v>1152.8</v>
      </c>
      <c r="H6" s="23">
        <f>Tabela13882142026323844505662687480869298104110116122128[[#This Row],[VALOR CAFÉ]]*Tabela13882142026323844505662687480869298104110116122128[[#This Row],[DIAS]]</f>
        <v>132</v>
      </c>
      <c r="I6" s="27">
        <f>Tabela13882142026323844505662687480869298104110116122128[[#This Row],[TOTAL CAFÉ]]+Tabela13882142026323844505662687480869298104110116122128[[#This Row],[TOTAL TRANSPORTE]]</f>
        <v>1284.8</v>
      </c>
      <c r="J6" s="31"/>
    </row>
    <row r="7" spans="2:10" s="4" customFormat="1" ht="48" customHeight="1" x14ac:dyDescent="0.25">
      <c r="B7" s="26" t="s">
        <v>26</v>
      </c>
      <c r="C7" s="28" t="s">
        <v>27</v>
      </c>
      <c r="D7" s="19">
        <v>22</v>
      </c>
      <c r="E7" s="20">
        <v>51.4</v>
      </c>
      <c r="F7" s="21">
        <v>6</v>
      </c>
      <c r="G7" s="22">
        <f>Tabela13882142026323844505662687480869298104110116122128[[#This Row],[VALOR TRANSPORTE]]*Tabela13882142026323844505662687480869298104110116122128[[#This Row],[DIAS]]</f>
        <v>1130.8</v>
      </c>
      <c r="H7" s="23">
        <f>Tabela13882142026323844505662687480869298104110116122128[[#This Row],[VALOR CAFÉ]]*Tabela13882142026323844505662687480869298104110116122128[[#This Row],[DIAS]]</f>
        <v>132</v>
      </c>
      <c r="I7" s="27">
        <f>Tabela13882142026323844505662687480869298104110116122128[[#This Row],[TOTAL CAFÉ]]+Tabela13882142026323844505662687480869298104110116122128[[#This Row],[TOTAL TRANSPORTE]]</f>
        <v>1262.8</v>
      </c>
      <c r="J7" s="30"/>
    </row>
    <row r="8" spans="2:10" s="4" customFormat="1" ht="48" customHeight="1" x14ac:dyDescent="0.25">
      <c r="B8" s="26" t="s">
        <v>18</v>
      </c>
      <c r="C8" s="28" t="s">
        <v>19</v>
      </c>
      <c r="D8" s="19">
        <v>23</v>
      </c>
      <c r="E8" s="20">
        <v>35.5</v>
      </c>
      <c r="F8" s="21">
        <v>6</v>
      </c>
      <c r="G8" s="22">
        <f>Tabela13882142026323844505662687480869298104110116122128[[#This Row],[VALOR TRANSPORTE]]*Tabela13882142026323844505662687480869298104110116122128[[#This Row],[DIAS]]</f>
        <v>816.5</v>
      </c>
      <c r="H8" s="23">
        <f>Tabela13882142026323844505662687480869298104110116122128[[#This Row],[VALOR CAFÉ]]*Tabela13882142026323844505662687480869298104110116122128[[#This Row],[DIAS]]</f>
        <v>138</v>
      </c>
      <c r="I8" s="27">
        <f>Tabela13882142026323844505662687480869298104110116122128[[#This Row],[TOTAL CAFÉ]]+Tabela13882142026323844505662687480869298104110116122128[[#This Row],[TOTAL TRANSPORTE]]</f>
        <v>954.5</v>
      </c>
      <c r="J8" s="31"/>
    </row>
    <row r="9" spans="2:10" s="4" customFormat="1" ht="48" customHeight="1" x14ac:dyDescent="0.25">
      <c r="B9" s="26" t="s">
        <v>30</v>
      </c>
      <c r="C9" s="28" t="s">
        <v>31</v>
      </c>
      <c r="D9" s="19">
        <v>18</v>
      </c>
      <c r="E9" s="20">
        <v>41.8</v>
      </c>
      <c r="F9" s="21">
        <v>6</v>
      </c>
      <c r="G9" s="22">
        <f>Tabela13882142026323844505662687480869298104110116122128[[#This Row],[VALOR TRANSPORTE]]*Tabela13882142026323844505662687480869298104110116122128[[#This Row],[DIAS]]</f>
        <v>752.4</v>
      </c>
      <c r="H9" s="23">
        <f>Tabela13882142026323844505662687480869298104110116122128[[#This Row],[VALOR CAFÉ]]*Tabela13882142026323844505662687480869298104110116122128[[#This Row],[DIAS]]</f>
        <v>108</v>
      </c>
      <c r="I9" s="27">
        <f>Tabela13882142026323844505662687480869298104110116122128[[#This Row],[TOTAL CAFÉ]]+Tabela13882142026323844505662687480869298104110116122128[[#This Row],[TOTAL TRANSPORTE]]</f>
        <v>860.4</v>
      </c>
      <c r="J9" s="31"/>
    </row>
    <row r="10" spans="2:10" s="4" customFormat="1" ht="48" customHeight="1" x14ac:dyDescent="0.25">
      <c r="B10" s="26" t="s">
        <v>16</v>
      </c>
      <c r="C10" s="28" t="s">
        <v>17</v>
      </c>
      <c r="D10" s="19">
        <v>23</v>
      </c>
      <c r="E10" s="20">
        <v>40.700000000000003</v>
      </c>
      <c r="F10" s="21">
        <v>6</v>
      </c>
      <c r="G10" s="22">
        <f>Tabela13882142026323844505662687480869298104110116122128[[#This Row],[VALOR TRANSPORTE]]*Tabela13882142026323844505662687480869298104110116122128[[#This Row],[DIAS]]</f>
        <v>936.1</v>
      </c>
      <c r="H10" s="23">
        <f>Tabela13882142026323844505662687480869298104110116122128[[#This Row],[VALOR CAFÉ]]*Tabela13882142026323844505662687480869298104110116122128[[#This Row],[DIAS]]</f>
        <v>138</v>
      </c>
      <c r="I10" s="27">
        <f>Tabela13882142026323844505662687480869298104110116122128[[#This Row],[TOTAL CAFÉ]]+Tabela13882142026323844505662687480869298104110116122128[[#This Row],[TOTAL TRANSPORTE]]</f>
        <v>1074.0999999999999</v>
      </c>
      <c r="J10" s="30"/>
    </row>
    <row r="11" spans="2:10" s="4" customFormat="1" ht="48" customHeight="1" x14ac:dyDescent="0.25">
      <c r="B11" s="26" t="s">
        <v>12</v>
      </c>
      <c r="C11" s="28" t="s">
        <v>13</v>
      </c>
      <c r="D11" s="19">
        <v>22</v>
      </c>
      <c r="E11" s="20">
        <v>49.6</v>
      </c>
      <c r="F11" s="21">
        <v>6</v>
      </c>
      <c r="G11" s="22">
        <f>Tabela13882142026323844505662687480869298104110116122128[[#This Row],[VALOR TRANSPORTE]]*Tabela13882142026323844505662687480869298104110116122128[[#This Row],[DIAS]]</f>
        <v>1091.2</v>
      </c>
      <c r="H11" s="23">
        <f>Tabela13882142026323844505662687480869298104110116122128[[#This Row],[VALOR CAFÉ]]*Tabela13882142026323844505662687480869298104110116122128[[#This Row],[DIAS]]</f>
        <v>132</v>
      </c>
      <c r="I11" s="27">
        <f>Tabela13882142026323844505662687480869298104110116122128[[#This Row],[TOTAL CAFÉ]]+Tabela13882142026323844505662687480869298104110116122128[[#This Row],[TOTAL TRANSPORTE]]</f>
        <v>1223.2</v>
      </c>
      <c r="J11" s="31"/>
    </row>
    <row r="12" spans="2:10" ht="48" customHeight="1" x14ac:dyDescent="0.25">
      <c r="B12" s="18" t="s">
        <v>20</v>
      </c>
      <c r="C12" s="14" t="s">
        <v>21</v>
      </c>
      <c r="D12" s="19">
        <v>23</v>
      </c>
      <c r="E12" s="20">
        <v>30.6</v>
      </c>
      <c r="F12" s="21">
        <v>6</v>
      </c>
      <c r="G12" s="22">
        <f>Tabela13882142026323844505662687480869298104110116122128[[#This Row],[VALOR TRANSPORTE]]*Tabela13882142026323844505662687480869298104110116122128[[#This Row],[DIAS]]</f>
        <v>703.80000000000007</v>
      </c>
      <c r="H12" s="23">
        <f>Tabela13882142026323844505662687480869298104110116122128[[#This Row],[VALOR CAFÉ]]*Tabela13882142026323844505662687480869298104110116122128[[#This Row],[DIAS]]</f>
        <v>138</v>
      </c>
      <c r="I12" s="24">
        <f>Tabela13882142026323844505662687480869298104110116122128[[#This Row],[TOTAL CAFÉ]]+Tabela13882142026323844505662687480869298104110116122128[[#This Row],[TOTAL TRANSPORTE]]</f>
        <v>841.80000000000007</v>
      </c>
      <c r="J12" s="29"/>
    </row>
    <row r="13" spans="2:10" ht="48" customHeight="1" x14ac:dyDescent="0.25">
      <c r="B13" s="26" t="s">
        <v>24</v>
      </c>
      <c r="C13" s="28" t="s">
        <v>25</v>
      </c>
      <c r="D13" s="19">
        <v>22</v>
      </c>
      <c r="E13" s="20">
        <v>51.4</v>
      </c>
      <c r="F13" s="21">
        <v>6</v>
      </c>
      <c r="G13" s="22">
        <f>Tabela13882142026323844505662687480869298104110116122128[[#This Row],[VALOR TRANSPORTE]]*Tabela13882142026323844505662687480869298104110116122128[[#This Row],[DIAS]]</f>
        <v>1130.8</v>
      </c>
      <c r="H13" s="23">
        <f>Tabela13882142026323844505662687480869298104110116122128[[#This Row],[VALOR CAFÉ]]*Tabela13882142026323844505662687480869298104110116122128[[#This Row],[DIAS]]</f>
        <v>132</v>
      </c>
      <c r="I13" s="27">
        <f>Tabela13882142026323844505662687480869298104110116122128[[#This Row],[TOTAL CAFÉ]]+Tabela13882142026323844505662687480869298104110116122128[[#This Row],[TOTAL TRANSPORTE]]</f>
        <v>1262.8</v>
      </c>
      <c r="J13" s="31"/>
    </row>
    <row r="14" spans="2:10" ht="48" customHeight="1" x14ac:dyDescent="0.25">
      <c r="B14" s="26" t="s">
        <v>22</v>
      </c>
      <c r="C14" s="28" t="s">
        <v>23</v>
      </c>
      <c r="D14" s="19">
        <v>11</v>
      </c>
      <c r="E14" s="20">
        <v>32.25</v>
      </c>
      <c r="F14" s="21">
        <v>6</v>
      </c>
      <c r="G14" s="22">
        <f>Tabela13882142026323844505662687480869298104110116122128[[#This Row],[VALOR TRANSPORTE]]*Tabela13882142026323844505662687480869298104110116122128[[#This Row],[DIAS]]</f>
        <v>354.75</v>
      </c>
      <c r="H14" s="23">
        <f>Tabela13882142026323844505662687480869298104110116122128[[#This Row],[VALOR CAFÉ]]*Tabela13882142026323844505662687480869298104110116122128[[#This Row],[DIAS]]</f>
        <v>66</v>
      </c>
      <c r="I14" s="27">
        <f>Tabela13882142026323844505662687480869298104110116122128[[#This Row],[TOTAL CAFÉ]]+Tabela13882142026323844505662687480869298104110116122128[[#This Row],[TOTAL TRANSPORTE]]</f>
        <v>420.75</v>
      </c>
      <c r="J14" s="31"/>
    </row>
    <row r="15" spans="2:10" ht="48" customHeight="1" x14ac:dyDescent="0.25">
      <c r="B15" s="18" t="s">
        <v>14</v>
      </c>
      <c r="C15" s="14" t="s">
        <v>15</v>
      </c>
      <c r="D15" s="19">
        <v>23</v>
      </c>
      <c r="E15" s="20">
        <v>40.700000000000003</v>
      </c>
      <c r="F15" s="21">
        <v>6</v>
      </c>
      <c r="G15" s="22">
        <f>Tabela13882142026323844505662687480869298104110116122128[[#This Row],[VALOR TRANSPORTE]]*Tabela13882142026323844505662687480869298104110116122128[[#This Row],[DIAS]]</f>
        <v>936.1</v>
      </c>
      <c r="H15" s="23">
        <f>Tabela13882142026323844505662687480869298104110116122128[[#This Row],[VALOR CAFÉ]]*Tabela13882142026323844505662687480869298104110116122128[[#This Row],[DIAS]]</f>
        <v>138</v>
      </c>
      <c r="I15" s="24">
        <f>Tabela13882142026323844505662687480869298104110116122128[[#This Row],[TOTAL CAFÉ]]+Tabela13882142026323844505662687480869298104110116122128[[#This Row],[TOTAL TRANSPORTE]]</f>
        <v>1074.0999999999999</v>
      </c>
      <c r="J15" s="25"/>
    </row>
    <row r="16" spans="2:10" ht="35.1" customHeight="1" x14ac:dyDescent="0.25">
      <c r="B16" s="17" t="s">
        <v>0</v>
      </c>
      <c r="C16" s="1"/>
      <c r="D16" s="15"/>
      <c r="E16" s="1"/>
      <c r="F16" s="1"/>
      <c r="G16" s="1"/>
      <c r="H16" s="1"/>
      <c r="I16" s="16">
        <f>SUBTOTAL(109,Tabela13882142026323844505662687480869298104110116122128[TOTAL])</f>
        <v>10317.15</v>
      </c>
      <c r="J16" s="9"/>
    </row>
    <row r="18" spans="2:10" x14ac:dyDescent="0.3">
      <c r="B18" s="5"/>
      <c r="C18" s="7"/>
      <c r="D18" s="8"/>
      <c r="E18" s="8"/>
      <c r="I18" s="6"/>
      <c r="J18" s="6"/>
    </row>
  </sheetData>
  <mergeCells count="4">
    <mergeCell ref="B2:J2"/>
    <mergeCell ref="G3:J3"/>
    <mergeCell ref="B1:J1"/>
    <mergeCell ref="B3:F3"/>
  </mergeCells>
  <pageMargins left="0.511811024" right="0.511811024" top="0.78740157499999996" bottom="0.78740157499999996" header="0.31496062000000002" footer="0.31496062000000002"/>
  <pageSetup paperSize="9" scale="4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Santos</dc:creator>
  <cp:lastModifiedBy>Rogerio Vasconcelos Santos</cp:lastModifiedBy>
  <cp:lastPrinted>2025-05-31T22:12:48Z</cp:lastPrinted>
  <dcterms:created xsi:type="dcterms:W3CDTF">2024-06-17T12:18:12Z</dcterms:created>
  <dcterms:modified xsi:type="dcterms:W3CDTF">2025-07-01T15:08:51Z</dcterms:modified>
</cp:coreProperties>
</file>