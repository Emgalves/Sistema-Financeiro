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.shortcut-targets-by-id\195uuohIL_ZKum7lhwu-OzJCH_CGAb97G\Relatórios\Financeiro\Planilhas_Base\Planilhas_RH\"/>
    </mc:Choice>
  </mc:AlternateContent>
  <xr:revisionPtr revIDLastSave="0" documentId="8_{F0FD4BB4-BCAF-44D2-8A0F-342E1AB3D809}" xr6:coauthVersionLast="47" xr6:coauthVersionMax="47" xr10:uidLastSave="{00000000-0000-0000-0000-000000000000}"/>
  <bookViews>
    <workbookView xWindow="1170" yWindow="1170" windowWidth="21600" windowHeight="11385"/>
  </bookViews>
  <sheets>
    <sheet name="Conferência - Contas a Pagar Fo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4" i="1" l="1"/>
  <c r="T3" i="1"/>
  <c r="T2" i="1"/>
</calcChain>
</file>

<file path=xl/sharedStrings.xml><?xml version="1.0" encoding="utf-8"?>
<sst xmlns="http://schemas.openxmlformats.org/spreadsheetml/2006/main" count="53" uniqueCount="42">
  <si>
    <t>Codigo</t>
  </si>
  <si>
    <t>Data Pagto</t>
  </si>
  <si>
    <t>Forma Pagto</t>
  </si>
  <si>
    <t>Tipo Conta/Chave PIX</t>
  </si>
  <si>
    <t>N° Banco</t>
  </si>
  <si>
    <t>Agência</t>
  </si>
  <si>
    <t>Dig. Ag.</t>
  </si>
  <si>
    <t>Nome Banco</t>
  </si>
  <si>
    <t>Dig. Conta</t>
  </si>
  <si>
    <t>CPF</t>
  </si>
  <si>
    <t>N° Conta</t>
  </si>
  <si>
    <t>Competência</t>
  </si>
  <si>
    <t>Tipo Folha</t>
  </si>
  <si>
    <t>Código</t>
  </si>
  <si>
    <t>Tipo</t>
  </si>
  <si>
    <t>Inscrição</t>
  </si>
  <si>
    <t>CPF: 034.352.976-97</t>
  </si>
  <si>
    <t>04/2025</t>
  </si>
  <si>
    <t>ALEXSANDRO VENANCIO DA SILVA</t>
  </si>
  <si>
    <t>Pix</t>
  </si>
  <si>
    <t>034.352.976-97</t>
  </si>
  <si>
    <t>ADIANTAMENTO</t>
  </si>
  <si>
    <t>900226157966</t>
  </si>
  <si>
    <t>C.E.I.</t>
  </si>
  <si>
    <t>Celular: 31995062139</t>
  </si>
  <si>
    <t>CRISTOFER BARBOSA ROSA</t>
  </si>
  <si>
    <t>018.657.796-60</t>
  </si>
  <si>
    <t>104</t>
  </si>
  <si>
    <t>Crédito CC</t>
  </si>
  <si>
    <t>GERALDO ROSA JUNIOR</t>
  </si>
  <si>
    <t>1422</t>
  </si>
  <si>
    <t/>
  </si>
  <si>
    <t>4</t>
  </si>
  <si>
    <t>CAIXA ECONÔMICA FEDERAL</t>
  </si>
  <si>
    <t>843.865.176-34</t>
  </si>
  <si>
    <t>00829287046</t>
  </si>
  <si>
    <t>Conta Corrente</t>
  </si>
  <si>
    <t>Cliente</t>
  </si>
  <si>
    <t>Nome_Empregado</t>
  </si>
  <si>
    <t>Valor_Líquido</t>
  </si>
  <si>
    <t>Dados_Bancarios</t>
  </si>
  <si>
    <t>BRUNO SANTANA RINALDI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</si>
</sst>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b/>
      <sz val="8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3" borderId="0" xfId="0" applyNumberFormat="1" applyFont="1" applyFill="1" applyAlignment="1">
      <alignment horizontal="left" vertical="top" wrapText="1"/>
    </xf>
    <xf numFmtId="49" fontId="1" fillId="2" borderId="0" xfId="0" applyNumberFormat="1" applyFont="1" applyFill="1" applyAlignment="1">
      <alignment horizontal="center" vertical="top" wrapText="1"/>
    </xf>
    <xf numFmtId="49" fontId="1" fillId="2" borderId="0" xfId="0" applyNumberFormat="1" applyFont="1" applyFill="1" applyAlignment="1">
      <alignment horizontal="left" vertical="top" wrapText="1"/>
    </xf>
    <xf numFmtId="49" fontId="4" fillId="3" borderId="0" xfId="0" applyNumberFormat="1" applyFont="1" applyFill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49" fontId="2" fillId="2" borderId="0" xfId="0" applyNumberFormat="1" applyFont="1" applyFill="1" applyAlignment="1">
      <alignment horizontal="center" vertical="top"/>
    </xf>
    <xf numFmtId="0" fontId="2" fillId="2" borderId="0" xfId="0" applyFont="1" applyFill="1" applyAlignment="1">
      <alignment horizontal="left" vertical="top" wrapText="1"/>
    </xf>
    <xf numFmtId="49" fontId="2" fillId="2" borderId="0" xfId="0" applyNumberFormat="1" applyFont="1" applyFill="1" applyAlignment="1">
      <alignment horizontal="center" vertical="top" wrapText="1"/>
    </xf>
    <xf numFmtId="14" fontId="2" fillId="2" borderId="0" xfId="0" applyNumberFormat="1" applyFont="1" applyFill="1" applyAlignment="1">
      <alignment horizontal="center" vertical="top"/>
    </xf>
    <xf numFmtId="0" fontId="2" fillId="0" borderId="0" xfId="0" applyFont="1" applyAlignment="1">
      <alignment horizontal="center" vertical="top" wrapText="1"/>
    </xf>
    <xf numFmtId="49" fontId="2" fillId="0" borderId="0" xfId="0" applyNumberFormat="1" applyFont="1" applyAlignment="1">
      <alignment horizontal="left" vertical="top" wrapText="1"/>
    </xf>
    <xf numFmtId="4" fontId="2" fillId="2" borderId="0" xfId="0" applyNumberFormat="1" applyFont="1" applyFill="1" applyAlignment="1">
      <alignment horizontal="right" vertical="top"/>
    </xf>
    <xf numFmtId="0" fontId="3" fillId="0" borderId="0" xfId="0" applyFont="1"/>
    <xf numFmtId="49" fontId="2" fillId="2" borderId="0" xfId="0" applyNumberFormat="1" applyFont="1" applyFill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49" fontId="2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Views>
    <sheetView showGridLines="0" tabSelected="1" zoomScaleNormal="100" workbookViewId="0">
      <selection activeCell="A3" sqref="A3"/>
    </sheetView>
  </sheetViews>
  <sheetFormatPr defaultRowHeight="12.75" x14ac:dyDescent="0.2"/>
  <cols>
    <col min="1" max="1" width="41.5703125" customWidth="1"/>
    <col min="2" max="2" width="8.5703125" customWidth="1"/>
    <col min="3" max="3" width="8.7109375" customWidth="1"/>
    <col min="4" max="4" width="16.42578125" customWidth="1"/>
    <col min="5" max="5" width="13.42578125" customWidth="1"/>
    <col min="6" max="6" width="16.28515625" bestFit="1" customWidth="1"/>
    <col min="7" max="7" width="14" customWidth="1"/>
    <col min="8" max="8" width="7.28515625" customWidth="1"/>
    <col min="9" max="9" width="38.140625" customWidth="1"/>
    <col min="10" max="10" width="16.140625" customWidth="1"/>
    <col min="11" max="11" width="16" customWidth="1"/>
    <col min="12" max="12" width="17.85546875" customWidth="1"/>
    <col min="14" max="14" width="8.5703125" customWidth="1"/>
    <col min="15" max="15" width="7.42578125" customWidth="1"/>
    <col min="16" max="16" width="14.85546875" customWidth="1"/>
    <col min="17" max="17" width="18.5703125" customWidth="1"/>
    <col min="18" max="18" width="8.85546875" customWidth="1"/>
    <col min="19" max="19" width="13.5703125" customWidth="1"/>
  </cols>
  <sheetData>
    <row r="1" spans="1:20" ht="15" customHeight="1" x14ac:dyDescent="0.2">
      <c r="A1" s="1" t="s">
        <v>37</v>
      </c>
      <c r="B1" s="2" t="s">
        <v>13</v>
      </c>
      <c r="C1" s="3" t="s">
        <v>14</v>
      </c>
      <c r="D1" s="3" t="s">
        <v>15</v>
      </c>
      <c r="E1" s="2" t="s">
        <v>11</v>
      </c>
      <c r="F1" s="2" t="s">
        <v>1</v>
      </c>
      <c r="G1" s="3" t="s">
        <v>12</v>
      </c>
      <c r="H1" s="2" t="s">
        <v>0</v>
      </c>
      <c r="I1" s="1" t="s">
        <v>38</v>
      </c>
      <c r="J1" s="2" t="s">
        <v>9</v>
      </c>
      <c r="K1" s="3" t="s">
        <v>2</v>
      </c>
      <c r="L1" s="3" t="s">
        <v>3</v>
      </c>
      <c r="M1" s="2" t="s">
        <v>4</v>
      </c>
      <c r="N1" s="2" t="s">
        <v>5</v>
      </c>
      <c r="O1" s="2" t="s">
        <v>6</v>
      </c>
      <c r="P1" s="3" t="s">
        <v>7</v>
      </c>
      <c r="Q1" s="3" t="s">
        <v>10</v>
      </c>
      <c r="R1" s="2" t="s">
        <v>8</v>
      </c>
      <c r="S1" s="1" t="s">
        <v>39</v>
      </c>
      <c r="T1" s="4" t="s">
        <v>40</v>
      </c>
    </row>
    <row r="2" spans="1:20" ht="12.6" customHeight="1" x14ac:dyDescent="0.2">
      <c r="A2" s="5" t="s">
        <v>41</v>
      </c>
      <c r="B2" s="6">
        <v>37</v>
      </c>
      <c r="C2" s="7" t="s">
        <v>23</v>
      </c>
      <c r="D2" s="7" t="s">
        <v>22</v>
      </c>
      <c r="E2" s="8" t="s">
        <v>17</v>
      </c>
      <c r="F2" s="9">
        <v>45766</v>
      </c>
      <c r="G2" s="7" t="s">
        <v>21</v>
      </c>
      <c r="H2" s="6">
        <v>2</v>
      </c>
      <c r="I2" s="7" t="s">
        <v>18</v>
      </c>
      <c r="J2" s="10" t="s">
        <v>20</v>
      </c>
      <c r="K2" s="7" t="s">
        <v>19</v>
      </c>
      <c r="L2" s="16" t="s">
        <v>16</v>
      </c>
      <c r="M2" s="16"/>
      <c r="N2" s="16"/>
      <c r="O2" s="16"/>
      <c r="P2" s="16"/>
      <c r="Q2" s="16"/>
      <c r="R2" s="16"/>
      <c r="S2" s="12">
        <v>1156</v>
      </c>
      <c r="T2" s="13" t="str">
        <f>IF(K2="Pix",L2,IF(LEFT(P2,5)="CAIXA","CAIXA"&amp;" - "&amp;N2&amp;" - "&amp;Q2&amp;"-"&amp;R2&amp;" - "&amp;J2,P2&amp;" - "&amp;N2&amp;" - "&amp;Q2&amp;"-"&amp;R2&amp;" - "&amp;J2))</f>
        <v>CPF: 034.352.976-97</v>
      </c>
    </row>
    <row r="3" spans="1:20" ht="12.6" customHeight="1" x14ac:dyDescent="0.2">
      <c r="A3" s="5" t="s">
        <v>41</v>
      </c>
      <c r="B3" s="6">
        <v>37</v>
      </c>
      <c r="C3" s="7" t="s">
        <v>23</v>
      </c>
      <c r="D3" s="7" t="s">
        <v>22</v>
      </c>
      <c r="E3" s="8" t="s">
        <v>17</v>
      </c>
      <c r="F3" s="9">
        <v>45766</v>
      </c>
      <c r="G3" s="7" t="s">
        <v>21</v>
      </c>
      <c r="H3" s="6">
        <v>1</v>
      </c>
      <c r="I3" s="7" t="s">
        <v>25</v>
      </c>
      <c r="J3" s="10" t="s">
        <v>26</v>
      </c>
      <c r="K3" s="7" t="s">
        <v>19</v>
      </c>
      <c r="L3" s="16" t="s">
        <v>24</v>
      </c>
      <c r="M3" s="16"/>
      <c r="N3" s="16"/>
      <c r="O3" s="16"/>
      <c r="P3" s="16"/>
      <c r="Q3" s="16"/>
      <c r="R3" s="16"/>
      <c r="S3" s="12">
        <v>854.8</v>
      </c>
      <c r="T3" s="13" t="str">
        <f>IF(K3="Pix",L3,IF(LEFT(P3,5)="CAIXA","CAIXA"&amp;" - "&amp;N3&amp;" - "&amp;Q3&amp;"-"&amp;R3&amp;" - "&amp;J3,P3&amp;" - "&amp;N3&amp;" - "&amp;Q3&amp;"-"&amp;R3&amp;" - "&amp;J3))</f>
        <v>Celular: 31995062139</v>
      </c>
    </row>
    <row r="4" spans="1:20" ht="12.6" customHeight="1" x14ac:dyDescent="0.2">
      <c r="A4" s="5" t="s">
        <v>41</v>
      </c>
      <c r="B4" s="6">
        <v>37</v>
      </c>
      <c r="C4" s="7" t="s">
        <v>23</v>
      </c>
      <c r="D4" s="7" t="s">
        <v>22</v>
      </c>
      <c r="E4" s="8" t="s">
        <v>17</v>
      </c>
      <c r="F4" s="9">
        <v>45766</v>
      </c>
      <c r="G4" s="7" t="s">
        <v>21</v>
      </c>
      <c r="H4" s="6">
        <v>3</v>
      </c>
      <c r="I4" s="7" t="s">
        <v>29</v>
      </c>
      <c r="J4" s="10" t="s">
        <v>34</v>
      </c>
      <c r="K4" s="14" t="s">
        <v>28</v>
      </c>
      <c r="L4" s="11" t="s">
        <v>36</v>
      </c>
      <c r="M4" s="15" t="s">
        <v>27</v>
      </c>
      <c r="N4" s="8" t="s">
        <v>30</v>
      </c>
      <c r="O4" s="8" t="s">
        <v>31</v>
      </c>
      <c r="P4" s="7" t="s">
        <v>33</v>
      </c>
      <c r="Q4" s="7" t="s">
        <v>35</v>
      </c>
      <c r="R4" s="8" t="s">
        <v>32</v>
      </c>
      <c r="S4" s="12">
        <v>2080</v>
      </c>
      <c r="T4" s="13" t="str">
        <f>IF(K4="Pix",L4,IF(LEFT(P4,5)="CAIXA","CAIXA"&amp;" - "&amp;N4&amp;" - "&amp;Q4&amp;"-"&amp;R4&amp;" - "&amp;J4,P4&amp;" - "&amp;N4&amp;" - "&amp;Q4&amp;"-"&amp;R4&amp;" - "&amp;J4))</f>
        <v>CAIXA - 1422 - 00829287046-4 - 843.865.176-34</v>
      </c>
    </row>
  </sheetData>
  <mergeCells count="2">
    <mergeCell ref="L2:R2"/>
    <mergeCell ref="L3:R3"/>
  </mergeCells>
  <pageMargins left="0.75" right="0.78740157499999996" top="1" bottom="0.75" header="0.5" footer="0.5"/>
  <pageSetup paperSize="0" fitToWidth="0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Conferência - Contas a Pagar 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Financeiro</dc:creator>
  <cp:lastModifiedBy>Obras</cp:lastModifiedBy>
  <dcterms:created xsi:type="dcterms:W3CDTF">2025-04-28T16:59:56Z</dcterms:created>
  <dcterms:modified xsi:type="dcterms:W3CDTF">2025-05-30T20:29:02Z</dcterms:modified>
</cp:coreProperties>
</file>