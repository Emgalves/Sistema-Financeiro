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Dados" sheetId="1" state="visible" r:id="rId1"/>
    <sheet name="RESUMO" sheetId="2" state="visible" r:id="rId2"/>
    <sheet name="Tp.Despesas" sheetId="3" state="visible" r:id="rId3"/>
    <sheet name="Contratos_ADM" sheetId="4" state="visible" r:id="rId4"/>
  </sheets>
  <definedNames>
    <definedName name="Z_1F464119_5B8A_40C0_B182_993F69588B9D_.wvu.Cols" localSheetId="0" hidden="1">Dados!$H:$Q</definedName>
    <definedName name="Z_1F464119_5B8A_40C0_B182_993F69588B9D_.wvu.FilterData" localSheetId="0" hidden="1">Dados!$A$1:$O$2</definedName>
    <definedName name="Z_4D7D1941_B5FD_47B6_8D54_2E45180B8868_.wvu.Cols" localSheetId="0" hidden="1">Dados!$H:$Q</definedName>
    <definedName name="Z_4D7D1941_B5FD_47B6_8D54_2E45180B8868_.wvu.FilterData" localSheetId="0" hidden="1">Dados!$A$1:$O$2</definedName>
    <definedName name="_xlnm._FilterDatabase" localSheetId="0" hidden="1">'Dados'!$A$1:$O$487</definedName>
    <definedName name="_xlnm.Print_Titles" localSheetId="1">'RESUMO'!$1:$5</definedName>
    <definedName name="_xlnm.Print_Area" localSheetId="1">'RESUMO'!$A$1:$L$83</definedName>
    <definedName name="_xlnm.Print_Titles" localSheetId="2">'Tp.Despesas'!$1:$5</definedName>
    <definedName name="_xlnm.Print_Area" localSheetId="2">'Tp.Despesas'!$A$1:$J$47</definedName>
  </definedNames>
  <calcPr calcId="181029" fullCalcOnLoad="1"/>
</workbook>
</file>

<file path=xl/styles.xml><?xml version="1.0" encoding="utf-8"?>
<styleSheet xmlns="http://schemas.openxmlformats.org/spreadsheetml/2006/main">
  <numFmts count="11">
    <numFmt numFmtId="164" formatCode="_-* #,##0.00_-;\-* #,##0.00_-;_-* &quot;-&quot;??_-;_-@_-"/>
    <numFmt numFmtId="165" formatCode="dd/mm/yy;@"/>
    <numFmt numFmtId="166" formatCode="00"/>
    <numFmt numFmtId="167" formatCode="0.0%"/>
    <numFmt numFmtId="168" formatCode="[&lt;=99999999999]\ 000\.000\.000\-00;\ 00\.000\.000\/0000\-00"/>
    <numFmt numFmtId="169" formatCode="mm/yyyy"/>
    <numFmt numFmtId="170" formatCode="_-* #,##0.0_-;\-* #,##0.0_-;_-* &quot;-&quot;??_-;_-@_-"/>
    <numFmt numFmtId="171" formatCode="yyyy\-mm\-dd"/>
    <numFmt numFmtId="172" formatCode="DD/MM/YYYY"/>
    <numFmt numFmtId="173" formatCode="_(&quot;R$&quot;* #,##0.00_);_(&quot;R$&quot;* \(#,##0.00\);_(&quot;R$&quot;* &quot;-&quot;??_);_(@_)"/>
    <numFmt numFmtId="174" formatCode="yyyy-mm-dd h:mm:ss"/>
  </numFmts>
  <fonts count="1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 tint="-0.3499862666707358"/>
      <sz val="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2"/>
    </font>
    <font>
      <name val="Calibri"/>
      <family val="2"/>
      <color theme="1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</fills>
  <borders count="26">
    <border>
      <left/>
      <right/>
      <top/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medium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medium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medium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medium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/>
      <bottom style="medium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medium">
        <color theme="0" tint="-0.249946592608417"/>
      </bottom>
      <diagonal/>
    </border>
    <border>
      <left style="thin">
        <color theme="0" tint="-0.249946592608417"/>
      </left>
      <right/>
      <top/>
      <bottom style="medium">
        <color theme="0" tint="-0.249946592608417"/>
      </bottom>
      <diagonal/>
    </border>
    <border>
      <left/>
      <right/>
      <top/>
      <bottom style="medium">
        <color theme="0" tint="-0.249946592608417"/>
      </bottom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theme="4" tint="0.3999755851924192"/>
      </right>
      <top/>
      <bottom style="double">
        <color auto="1"/>
      </bottom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</borders>
  <cellStyleXfs count="9">
    <xf numFmtId="0" fontId="3" fillId="0" borderId="0"/>
    <xf numFmtId="43" fontId="3" fillId="0" borderId="0"/>
    <xf numFmtId="0" fontId="5" fillId="0" borderId="0"/>
    <xf numFmtId="0" fontId="6" fillId="0" borderId="0"/>
    <xf numFmtId="0" fontId="5" fillId="0" borderId="0"/>
    <xf numFmtId="9" fontId="3" fillId="0" borderId="0"/>
    <xf numFmtId="0" fontId="5" fillId="0" borderId="0"/>
    <xf numFmtId="173" fontId="5" fillId="0" borderId="0"/>
    <xf numFmtId="43" fontId="3" fillId="0" borderId="0"/>
  </cellStyleXfs>
  <cellXfs count="10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2" applyAlignment="1" pivotButton="0" quotePrefix="0" xfId="1">
      <alignment vertical="center"/>
    </xf>
    <xf numFmtId="164" fontId="0" fillId="0" borderId="5" applyAlignment="1" pivotButton="0" quotePrefix="0" xfId="1">
      <alignment vertical="center"/>
    </xf>
    <xf numFmtId="164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9" applyAlignment="1" pivotButton="0" quotePrefix="0" xfId="0">
      <alignment vertical="center" wrapText="1"/>
    </xf>
    <xf numFmtId="164" fontId="4" fillId="0" borderId="11" applyAlignment="1" pivotButton="0" quotePrefix="0" xfId="1">
      <alignment vertical="center"/>
    </xf>
    <xf numFmtId="0" fontId="0" fillId="0" borderId="12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164" fontId="0" fillId="0" borderId="3" applyAlignment="1" pivotButton="0" quotePrefix="0" xfId="1">
      <alignment vertical="center"/>
    </xf>
    <xf numFmtId="165" fontId="4" fillId="0" borderId="1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0" fontId="0" fillId="0" borderId="7" applyAlignment="1" pivotButton="0" quotePrefix="0" xfId="0">
      <alignment vertical="center" wrapText="1"/>
    </xf>
    <xf numFmtId="166" fontId="0" fillId="0" borderId="4" applyAlignment="1" pivotButton="0" quotePrefix="0" xfId="1">
      <alignment horizontal="center" vertical="center"/>
    </xf>
    <xf numFmtId="166" fontId="0" fillId="0" borderId="1" applyAlignment="1" pivotButton="0" quotePrefix="0" xfId="1">
      <alignment horizontal="center" vertical="center"/>
    </xf>
    <xf numFmtId="164" fontId="4" fillId="2" borderId="14" applyAlignment="1" pivotButton="0" quotePrefix="0" xfId="1">
      <alignment vertical="center"/>
    </xf>
    <xf numFmtId="164" fontId="4" fillId="2" borderId="15" applyAlignment="1" pivotButton="0" quotePrefix="0" xfId="1">
      <alignment vertical="center"/>
    </xf>
    <xf numFmtId="167" fontId="0" fillId="2" borderId="17" applyAlignment="1" pivotButton="0" quotePrefix="0" xfId="5">
      <alignment vertical="center"/>
    </xf>
    <xf numFmtId="9" fontId="4" fillId="2" borderId="18" applyAlignment="1" pivotButton="0" quotePrefix="0" xfId="5">
      <alignment vertical="center"/>
    </xf>
    <xf numFmtId="165" fontId="4" fillId="0" borderId="7" applyAlignment="1" pivotButton="0" quotePrefix="0" xfId="0">
      <alignment horizontal="centerContinuous" vertical="center"/>
    </xf>
    <xf numFmtId="165" fontId="0" fillId="0" borderId="1" applyAlignment="1" pivotButton="0" quotePrefix="0" xfId="0">
      <alignment horizontal="centerContinuous" vertical="center"/>
    </xf>
    <xf numFmtId="9" fontId="0" fillId="0" borderId="0" applyAlignment="1" pivotButton="0" quotePrefix="0" xfId="5">
      <alignment vertical="center"/>
    </xf>
    <xf numFmtId="0" fontId="10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2" fillId="0" borderId="0" applyAlignment="1" pivotButton="0" quotePrefix="0" xfId="0">
      <alignment vertical="center"/>
    </xf>
    <xf numFmtId="165" fontId="4" fillId="0" borderId="21" applyAlignment="1" pivotButton="0" quotePrefix="0" xfId="0">
      <alignment horizontal="centerContinuous" vertical="center"/>
    </xf>
    <xf numFmtId="165" fontId="4" fillId="0" borderId="1" applyAlignment="1" pivotButton="0" quotePrefix="0" xfId="0">
      <alignment horizontal="centerContinuous" vertical="center"/>
    </xf>
    <xf numFmtId="0" fontId="1" fillId="0" borderId="8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14" fontId="0" fillId="0" borderId="0" pivotButton="0" quotePrefix="0" xfId="0"/>
    <xf numFmtId="168" fontId="0" fillId="0" borderId="0" applyAlignment="1" pivotButton="0" quotePrefix="0" xfId="0">
      <alignment vertical="center"/>
    </xf>
    <xf numFmtId="169" fontId="0" fillId="0" borderId="1" applyAlignment="1" pivotButton="0" quotePrefix="0" xfId="0">
      <alignment horizontal="centerContinuous" vertical="center"/>
    </xf>
    <xf numFmtId="0" fontId="0" fillId="0" borderId="22" applyAlignment="1" pivotButton="0" quotePrefix="0" xfId="0">
      <alignment vertical="center"/>
    </xf>
    <xf numFmtId="165" fontId="0" fillId="0" borderId="22" applyAlignment="1" pivotButton="0" quotePrefix="0" xfId="0">
      <alignment vertical="center"/>
    </xf>
    <xf numFmtId="168" fontId="0" fillId="0" borderId="22" applyAlignment="1" pivotButton="0" quotePrefix="0" xfId="0">
      <alignment vertical="center"/>
    </xf>
    <xf numFmtId="14" fontId="0" fillId="0" borderId="22" applyAlignment="1" pivotButton="0" quotePrefix="0" xfId="0">
      <alignment horizontal="center" vertical="center"/>
    </xf>
    <xf numFmtId="0" fontId="0" fillId="0" borderId="22" applyAlignment="1" pivotButton="0" quotePrefix="0" xfId="8">
      <alignment vertical="center"/>
    </xf>
    <xf numFmtId="0" fontId="11" fillId="3" borderId="23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0" hidden="0"/>
    </xf>
    <xf numFmtId="169" fontId="0" fillId="0" borderId="0" applyAlignment="1" pivotButton="0" quotePrefix="0" xfId="0">
      <alignment vertical="center"/>
    </xf>
    <xf numFmtId="14" fontId="0" fillId="0" borderId="0" applyAlignment="1" applyProtection="1" pivotButton="0" quotePrefix="0" xfId="0">
      <alignment vertical="center"/>
      <protection locked="0" hidden="0"/>
    </xf>
    <xf numFmtId="168" fontId="0" fillId="0" borderId="0" applyAlignment="1" applyProtection="1" pivotButton="0" quotePrefix="0" xfId="0">
      <alignment vertical="center"/>
      <protection locked="0" hidden="0"/>
    </xf>
    <xf numFmtId="14" fontId="0" fillId="0" borderId="0" applyAlignment="1" pivotButton="0" quotePrefix="0" xfId="0">
      <alignment vertical="center"/>
    </xf>
    <xf numFmtId="1" fontId="0" fillId="0" borderId="0" pivotButton="0" quotePrefix="0" xfId="0"/>
    <xf numFmtId="164" fontId="3" fillId="0" borderId="0" pivotButton="0" quotePrefix="0" xfId="1"/>
    <xf numFmtId="170" fontId="0" fillId="0" borderId="22" applyAlignment="1" pivotButton="0" quotePrefix="0" xfId="0">
      <alignment vertical="center"/>
    </xf>
    <xf numFmtId="170" fontId="0" fillId="0" borderId="0" pivotButton="0" quotePrefix="0" xfId="0"/>
    <xf numFmtId="170" fontId="0" fillId="0" borderId="0" applyAlignment="1" applyProtection="1" pivotButton="0" quotePrefix="0" xfId="0">
      <alignment vertical="center"/>
      <protection locked="0" hidden="0"/>
    </xf>
    <xf numFmtId="0" fontId="0" fillId="0" borderId="0" applyAlignment="1" pivotButton="0" quotePrefix="0" xfId="0">
      <alignment horizontal="right" vertical="center"/>
    </xf>
    <xf numFmtId="14" fontId="13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/>
    </xf>
    <xf numFmtId="171" fontId="0" fillId="0" borderId="0" pivotButton="0" quotePrefix="0" xfId="0"/>
    <xf numFmtId="0" fontId="0" fillId="0" borderId="0" pivotButton="0" quotePrefix="1" xfId="0"/>
    <xf numFmtId="4" fontId="0" fillId="0" borderId="0" pivotButton="0" quotePrefix="0" xfId="0"/>
    <xf numFmtId="0" fontId="11" fillId="3" borderId="0" applyAlignment="1" pivotButton="0" quotePrefix="0" xfId="8">
      <alignment vertical="center"/>
    </xf>
    <xf numFmtId="14" fontId="0" fillId="0" borderId="1" applyAlignment="1" pivotButton="0" quotePrefix="0" xfId="0">
      <alignment horizontal="center" vertical="center"/>
    </xf>
    <xf numFmtId="164" fontId="12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0" fillId="0" borderId="20" applyAlignment="1" applyProtection="1" pivotButton="0" quotePrefix="0" xfId="0">
      <alignment vertical="center"/>
      <protection locked="0" hidden="0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14" fontId="4" fillId="2" borderId="1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168" fontId="0" fillId="0" borderId="0" applyAlignment="1" applyProtection="1" pivotButton="0" quotePrefix="0" xfId="0">
      <alignment vertical="center"/>
      <protection locked="0" hidden="0"/>
    </xf>
    <xf numFmtId="168" fontId="0" fillId="0" borderId="0" applyAlignment="1" pivotButton="0" quotePrefix="0" xfId="0">
      <alignment vertical="center"/>
    </xf>
    <xf numFmtId="164" fontId="3" fillId="0" borderId="0" pivotButton="0" quotePrefix="0" xfId="1"/>
    <xf numFmtId="170" fontId="0" fillId="0" borderId="0" applyAlignment="1" applyProtection="1" pivotButton="0" quotePrefix="0" xfId="0">
      <alignment vertical="center"/>
      <protection locked="0" hidden="0"/>
    </xf>
    <xf numFmtId="164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5" fontId="0" fillId="0" borderId="22" applyAlignment="1" pivotButton="0" quotePrefix="0" xfId="0">
      <alignment vertical="center"/>
    </xf>
    <xf numFmtId="168" fontId="0" fillId="0" borderId="22" applyAlignment="1" pivotButton="0" quotePrefix="0" xfId="0">
      <alignment vertical="center"/>
    </xf>
    <xf numFmtId="170" fontId="0" fillId="0" borderId="22" applyAlignment="1" pivotButton="0" quotePrefix="0" xfId="0">
      <alignment vertical="center"/>
    </xf>
    <xf numFmtId="170" fontId="0" fillId="0" borderId="0" pivotButton="0" quotePrefix="0" xfId="0"/>
    <xf numFmtId="172" fontId="0" fillId="0" borderId="0" pivotButton="0" quotePrefix="0" xfId="0"/>
    <xf numFmtId="164" fontId="0" fillId="0" borderId="0" applyAlignment="1" pivotButton="0" quotePrefix="0" xfId="1">
      <alignment vertical="center"/>
    </xf>
    <xf numFmtId="166" fontId="0" fillId="0" borderId="4" applyAlignment="1" pivotButton="0" quotePrefix="0" xfId="1">
      <alignment horizontal="center" vertical="center"/>
    </xf>
    <xf numFmtId="164" fontId="0" fillId="0" borderId="5" applyAlignment="1" pivotButton="0" quotePrefix="0" xfId="1">
      <alignment vertical="center"/>
    </xf>
    <xf numFmtId="164" fontId="0" fillId="0" borderId="6" applyAlignment="1" pivotButton="0" quotePrefix="0" xfId="0">
      <alignment vertical="center"/>
    </xf>
    <xf numFmtId="166" fontId="0" fillId="0" borderId="1" applyAlignment="1" pivotButton="0" quotePrefix="0" xfId="1">
      <alignment horizontal="center" vertical="center"/>
    </xf>
    <xf numFmtId="164" fontId="12" fillId="0" borderId="0" applyAlignment="1" pivotButton="0" quotePrefix="0" xfId="0">
      <alignment vertical="center"/>
    </xf>
    <xf numFmtId="164" fontId="0" fillId="0" borderId="2" applyAlignment="1" pivotButton="0" quotePrefix="0" xfId="1">
      <alignment vertical="center"/>
    </xf>
    <xf numFmtId="165" fontId="4" fillId="0" borderId="10" applyAlignment="1" pivotButton="0" quotePrefix="0" xfId="0">
      <alignment horizontal="center" vertical="center"/>
    </xf>
    <xf numFmtId="164" fontId="4" fillId="0" borderId="11" applyAlignment="1" pivotButton="0" quotePrefix="0" xfId="1">
      <alignment vertical="center"/>
    </xf>
    <xf numFmtId="165" fontId="0" fillId="0" borderId="0" applyAlignment="1" pivotButton="0" quotePrefix="0" xfId="0">
      <alignment vertical="center"/>
    </xf>
    <xf numFmtId="165" fontId="8" fillId="0" borderId="0" applyAlignment="1" pivotButton="0" quotePrefix="0" xfId="0">
      <alignment vertical="center"/>
    </xf>
    <xf numFmtId="165" fontId="4" fillId="0" borderId="7" applyAlignment="1" pivotButton="0" quotePrefix="0" xfId="0">
      <alignment horizontal="centerContinuous" vertical="center"/>
    </xf>
    <xf numFmtId="169" fontId="0" fillId="0" borderId="1" applyAlignment="1" pivotButton="0" quotePrefix="0" xfId="0">
      <alignment horizontal="centerContinuous" vertical="center"/>
    </xf>
    <xf numFmtId="165" fontId="4" fillId="0" borderId="21" applyAlignment="1" pivotButton="0" quotePrefix="0" xfId="0">
      <alignment horizontal="centerContinuous" vertical="center"/>
    </xf>
    <xf numFmtId="164" fontId="0" fillId="0" borderId="3" applyAlignment="1" pivotButton="0" quotePrefix="0" xfId="1">
      <alignment vertical="center"/>
    </xf>
    <xf numFmtId="165" fontId="4" fillId="0" borderId="1" applyAlignment="1" pivotButton="0" quotePrefix="0" xfId="0">
      <alignment horizontal="centerContinuous" vertical="center"/>
    </xf>
    <xf numFmtId="165" fontId="0" fillId="0" borderId="1" applyAlignment="1" pivotButton="0" quotePrefix="0" xfId="0">
      <alignment horizontal="centerContinuous" vertical="center"/>
    </xf>
    <xf numFmtId="164" fontId="4" fillId="2" borderId="14" applyAlignment="1" pivotButton="0" quotePrefix="0" xfId="1">
      <alignment vertical="center"/>
    </xf>
    <xf numFmtId="164" fontId="4" fillId="2" borderId="15" applyAlignment="1" pivotButton="0" quotePrefix="0" xfId="1">
      <alignment vertical="center"/>
    </xf>
    <xf numFmtId="167" fontId="0" fillId="2" borderId="17" applyAlignment="1" pivotButton="0" quotePrefix="0" xfId="5">
      <alignment vertical="center"/>
    </xf>
    <xf numFmtId="171" fontId="0" fillId="0" borderId="0" pivotButton="0" quotePrefix="0" xfId="0"/>
    <xf numFmtId="172" fontId="0" fillId="0" borderId="0" pivotButton="0" quotePrefix="0" xfId="0"/>
  </cellXfs>
  <cellStyles count="9">
    <cellStyle name="Normal" xfId="0" builtinId="0"/>
    <cellStyle name="Vírgula" xfId="1" builtinId="3"/>
    <cellStyle name="Normal 2" xfId="2"/>
    <cellStyle name="Hiperlink 2" xfId="3"/>
    <cellStyle name="Normal 2 2" xfId="4"/>
    <cellStyle name="Porcentagem" xfId="5" builtinId="5"/>
    <cellStyle name="Normal 3" xfId="6"/>
    <cellStyle name="Moeda 2" xfId="7"/>
    <cellStyle name="Vírgula 2" xfId="8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emilia.mga@gmail.com</author>
  </authors>
  <commentList>
    <comment ref="P1" authorId="0" shapeId="0">
      <text>
        <t xml:space="preserve">emilia.mga@gmail.com:
=C2&amp;D2&amp;E2&amp;G2&amp;J2&amp;K2
</t>
      </text>
    </comment>
    <comment ref="Q1" authorId="0" shapeId="0">
      <text>
        <t>emilia.mga@gmail.com: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93980</colOff>
      <row>0</row>
      <rowOff>81280</rowOff>
    </from>
    <ext cx="2449285" cy="748393"/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93980" y="81280"/>
          <a:ext cx="2449285" cy="748393"/>
        </a:xfrm>
        <a:prstGeom prst="rect">
          <avLst/>
        </a:prstGeom>
        <a:ln>
          <a:noFill/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93980</colOff>
      <row>0</row>
      <rowOff>81280</rowOff>
    </from>
    <ext cx="2449285" cy="748393"/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93980" y="81280"/>
          <a:ext cx="2449285" cy="748393"/>
        </a:xfrm>
        <a:prstGeom prst="rect">
          <avLst/>
        </a:prstGeom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6"/>
  <sheetViews>
    <sheetView tabSelected="1" zoomScale="90" zoomScaleNormal="90" workbookViewId="0">
      <pane ySplit="1" topLeftCell="A536" activePane="bottomLeft" state="frozen"/>
      <selection pane="bottomLeft" activeCell="G568" sqref="G568"/>
    </sheetView>
  </sheetViews>
  <sheetFormatPr baseColWidth="8" defaultColWidth="11.125" defaultRowHeight="15.75"/>
  <cols>
    <col width="12.125" customWidth="1" style="50" min="1" max="1"/>
    <col width="11" bestFit="1" customWidth="1" style="71" min="2" max="2"/>
    <col width="18.375" bestFit="1" customWidth="1" style="48" min="3" max="3"/>
    <col width="44.5" bestFit="1" customWidth="1" style="76" min="4" max="4"/>
    <col width="41.5" bestFit="1" customWidth="1" style="77" min="5" max="5"/>
    <col width="10.875" customWidth="1" style="77" min="6" max="6"/>
    <col width="12.5" bestFit="1" customWidth="1" style="78" min="7" max="7"/>
    <col width="7.625" bestFit="1" customWidth="1" style="79" min="8" max="8"/>
    <col width="12" bestFit="1" customWidth="1" style="78" min="9" max="9"/>
    <col width="11.875" bestFit="1" customWidth="1" style="80" min="10" max="10"/>
    <col width="13.375" bestFit="1" customWidth="1" style="52" min="11" max="11"/>
    <col width="41.375" bestFit="1" customWidth="1" style="71" min="12" max="12"/>
    <col width="20.5" customWidth="1" style="48" min="13" max="13"/>
    <col width="15" customWidth="1" style="48" min="14" max="14"/>
    <col width="9.625" customWidth="1" style="48" min="15" max="15"/>
    <col width="18.625" bestFit="1" customWidth="1" style="81" min="16" max="16"/>
    <col width="13.125" bestFit="1" customWidth="1" style="71" min="17" max="17"/>
    <col width="11.125" customWidth="1" style="71" min="18" max="36"/>
    <col width="11.125" customWidth="1" style="71" min="37" max="16384"/>
  </cols>
  <sheetData>
    <row r="1" ht="24" customHeight="1" thickBot="1">
      <c r="A1" s="82" t="inlineStr">
        <is>
          <t>DATA_REL</t>
        </is>
      </c>
      <c r="B1" s="42" t="inlineStr">
        <is>
          <t>TP_DESP</t>
        </is>
      </c>
      <c r="C1" s="83" t="inlineStr">
        <is>
          <t>CNPJ_CPF</t>
        </is>
      </c>
      <c r="D1" s="42" t="inlineStr">
        <is>
          <t>NOME</t>
        </is>
      </c>
      <c r="E1" s="42" t="inlineStr">
        <is>
          <t>REFERÊNCIA</t>
        </is>
      </c>
      <c r="F1" s="42" t="inlineStr">
        <is>
          <t>NF</t>
        </is>
      </c>
      <c r="G1" s="42" t="inlineStr">
        <is>
          <t>VR_UNIT</t>
        </is>
      </c>
      <c r="H1" s="84" t="inlineStr">
        <is>
          <t>DIAS</t>
        </is>
      </c>
      <c r="I1" s="42" t="inlineStr">
        <is>
          <t>VALOR</t>
        </is>
      </c>
      <c r="J1" s="45" t="inlineStr">
        <is>
          <t>DT_VENCTO</t>
        </is>
      </c>
      <c r="K1" s="46" t="inlineStr">
        <is>
          <t>CATEGORIA</t>
        </is>
      </c>
      <c r="L1" s="47" t="inlineStr">
        <is>
          <t>DADOS_BANCARIOS</t>
        </is>
      </c>
      <c r="M1" s="42" t="inlineStr">
        <is>
          <t>OBSERVAÇÃO</t>
        </is>
      </c>
      <c r="N1" s="65" t="inlineStr">
        <is>
          <t>NF?</t>
        </is>
      </c>
      <c r="O1" s="65" t="inlineStr">
        <is>
          <t>PAGTO</t>
        </is>
      </c>
      <c r="P1" s="81" t="inlineStr">
        <is>
          <t>CHECK</t>
        </is>
      </c>
      <c r="Q1" s="71" t="inlineStr">
        <is>
          <t>RELATÓRIO</t>
        </is>
      </c>
    </row>
    <row r="2" ht="17.1" customHeight="1" thickTop="1">
      <c r="A2" s="50" t="n">
        <v>45540</v>
      </c>
      <c r="B2" s="71" t="n">
        <v>1</v>
      </c>
      <c r="C2" s="48" t="inlineStr">
        <is>
          <t>14758063613</t>
        </is>
      </c>
      <c r="D2" s="76" t="inlineStr">
        <is>
          <t>IZAEL BISPO OLIVEIRA</t>
        </is>
      </c>
      <c r="E2" s="77" t="inlineStr">
        <is>
          <t>DIÁRIA</t>
        </is>
      </c>
      <c r="G2" s="78" t="n">
        <v>200</v>
      </c>
      <c r="H2" s="79" t="n">
        <v>3</v>
      </c>
      <c r="I2" s="78" t="n">
        <v>600</v>
      </c>
      <c r="J2" s="80" t="inlineStr">
        <is>
          <t>06/09/2024</t>
        </is>
      </c>
      <c r="K2" s="52" t="inlineStr">
        <is>
          <t>MO</t>
        </is>
      </c>
      <c r="L2" t="inlineStr">
        <is>
          <t>PIX: 14758063613</t>
        </is>
      </c>
      <c r="M2" s="69" t="n"/>
      <c r="N2">
        <f>IF(ISERROR(SEARCH("NF",E2,1)),"NÃO","SIM")</f>
        <v/>
      </c>
      <c r="O2">
        <f>IF($B2=5,"SIM","")</f>
        <v/>
      </c>
      <c r="P2" s="81">
        <f>A2&amp;B2&amp;C2&amp;E2&amp;G2&amp;EDATE(J2,0)</f>
        <v/>
      </c>
      <c r="Q2" s="71">
        <f>IF(A2=0,"",VLOOKUP($A2,RESUMO!$A$8:$B$83,2,FALSE))</f>
        <v/>
      </c>
    </row>
    <row r="3">
      <c r="A3" s="50" t="n">
        <v>45540</v>
      </c>
      <c r="B3" s="71" t="n">
        <v>1</v>
      </c>
      <c r="C3" s="48" t="inlineStr">
        <is>
          <t>14020156662</t>
        </is>
      </c>
      <c r="D3" s="76" t="inlineStr">
        <is>
          <t>WELLINGTON GOMES PAIVA</t>
        </is>
      </c>
      <c r="E3" s="77" t="inlineStr">
        <is>
          <t>DIÁRIA</t>
        </is>
      </c>
      <c r="G3" s="78" t="n">
        <v>200</v>
      </c>
      <c r="H3" s="79" t="n">
        <v>1</v>
      </c>
      <c r="I3" s="78" t="n">
        <v>200</v>
      </c>
      <c r="J3" s="80" t="inlineStr">
        <is>
          <t>06/09/2024</t>
        </is>
      </c>
      <c r="K3" s="52" t="inlineStr">
        <is>
          <t>MO</t>
        </is>
      </c>
      <c r="L3" t="inlineStr">
        <is>
          <t>PIX: 14020156662</t>
        </is>
      </c>
      <c r="N3">
        <f>IF(ISERROR(SEARCH("NF",E3,1)),"NÃO","SIM")</f>
        <v/>
      </c>
      <c r="O3">
        <f>IF($B3=5,"SIM","")</f>
        <v/>
      </c>
      <c r="P3" s="81">
        <f>A3&amp;B3&amp;C3&amp;E3&amp;G3&amp;EDATE(J3,0)</f>
        <v/>
      </c>
      <c r="Q3" s="71">
        <f>IF(A3=0,"",VLOOKUP($A3,RESUMO!$A$8:$B$83,2,FALSE))</f>
        <v/>
      </c>
    </row>
    <row r="4">
      <c r="A4" s="50" t="n">
        <v>45540</v>
      </c>
      <c r="B4" s="71" t="n">
        <v>1</v>
      </c>
      <c r="C4" s="48" t="inlineStr">
        <is>
          <t>12095122623</t>
        </is>
      </c>
      <c r="D4" s="76" t="inlineStr">
        <is>
          <t>WANDERSON ROMUALDO DE SOUZA</t>
        </is>
      </c>
      <c r="E4" s="77" t="inlineStr">
        <is>
          <t>DIÁRIA</t>
        </is>
      </c>
      <c r="G4" s="78" t="n">
        <v>200</v>
      </c>
      <c r="H4" s="79" t="n">
        <v>5</v>
      </c>
      <c r="I4" s="78" t="n">
        <v>1000</v>
      </c>
      <c r="J4" s="80" t="inlineStr">
        <is>
          <t>06/09/2024</t>
        </is>
      </c>
      <c r="K4" s="52" t="inlineStr">
        <is>
          <t>MO</t>
        </is>
      </c>
      <c r="L4" t="inlineStr">
        <is>
          <t>PIX: 12095122623</t>
        </is>
      </c>
      <c r="N4">
        <f>IF(ISERROR(SEARCH("NF",E4,1)),"NÃO","SIM")</f>
        <v/>
      </c>
      <c r="O4">
        <f>IF($B4=5,"SIM","")</f>
        <v/>
      </c>
      <c r="P4" s="81">
        <f>A4&amp;B4&amp;C4&amp;E4&amp;G4&amp;EDATE(J4,0)</f>
        <v/>
      </c>
      <c r="Q4" s="71">
        <f>IF(A4=0,"",VLOOKUP($A4,RESUMO!$A$8:$B$83,2,FALSE))</f>
        <v/>
      </c>
    </row>
    <row r="5">
      <c r="A5" s="50" t="n">
        <v>45540</v>
      </c>
      <c r="B5" s="71" t="n">
        <v>2</v>
      </c>
      <c r="C5" s="48" t="inlineStr">
        <is>
          <t>07834753000141</t>
        </is>
      </c>
      <c r="D5" s="76" t="inlineStr">
        <is>
          <t>ANCORA PAPELARIA</t>
        </is>
      </c>
      <c r="E5" s="77" t="inlineStr">
        <is>
          <t>PLOTAGENS - NF A EMITIR</t>
        </is>
      </c>
      <c r="G5" s="78" t="n">
        <v>432</v>
      </c>
      <c r="I5" s="78" t="n">
        <v>432</v>
      </c>
      <c r="J5" s="80" t="inlineStr">
        <is>
          <t>06/09/2024</t>
        </is>
      </c>
      <c r="K5" s="52" t="inlineStr">
        <is>
          <t>SERV</t>
        </is>
      </c>
      <c r="L5" t="inlineStr">
        <is>
          <t>PIX: ancorapapelaria@gmail.com</t>
        </is>
      </c>
      <c r="N5">
        <f>IF(ISERROR(SEARCH("NF",E5,1)),"NÃO","SIM")</f>
        <v/>
      </c>
      <c r="O5">
        <f>IF($B5=5,"SIM","")</f>
        <v/>
      </c>
      <c r="P5" s="81">
        <f>A5&amp;B5&amp;C5&amp;E5&amp;G5&amp;EDATE(J5,0)</f>
        <v/>
      </c>
      <c r="Q5" s="71">
        <f>IF(A5=0,"",VLOOKUP($A5,RESUMO!$A$8:$B$83,2,FALSE))</f>
        <v/>
      </c>
    </row>
    <row r="6">
      <c r="A6" s="50" t="n">
        <v>45540</v>
      </c>
      <c r="B6" s="71" t="n">
        <v>2</v>
      </c>
      <c r="C6" s="48" t="inlineStr">
        <is>
          <t>07834753000141</t>
        </is>
      </c>
      <c r="D6" s="76" t="inlineStr">
        <is>
          <t>ANCORA PAPELARIA</t>
        </is>
      </c>
      <c r="E6" s="77" t="inlineStr">
        <is>
          <t>PLOTAGENS - NF A EMITIR</t>
        </is>
      </c>
      <c r="G6" s="78" t="n">
        <v>76</v>
      </c>
      <c r="I6" s="78" t="n">
        <v>76</v>
      </c>
      <c r="J6" s="80" t="inlineStr">
        <is>
          <t>06/09/2024</t>
        </is>
      </c>
      <c r="K6" s="52" t="inlineStr">
        <is>
          <t>SERV</t>
        </is>
      </c>
      <c r="L6" t="inlineStr">
        <is>
          <t>PIX: ancorapapelaria@gmail.com</t>
        </is>
      </c>
      <c r="N6">
        <f>IF(ISERROR(SEARCH("NF",E6,1)),"NÃO","SIM")</f>
        <v/>
      </c>
      <c r="O6">
        <f>IF($B6=5,"SIM","")</f>
        <v/>
      </c>
      <c r="P6" s="81">
        <f>A6&amp;B6&amp;C6&amp;E6&amp;G6&amp;EDATE(J6,0)</f>
        <v/>
      </c>
      <c r="Q6" s="71">
        <f>IF(A6=0,"",VLOOKUP($A6,RESUMO!$A$8:$B$83,2,FALSE))</f>
        <v/>
      </c>
    </row>
    <row r="7">
      <c r="A7" s="50" t="n">
        <v>45540</v>
      </c>
      <c r="B7" s="71" t="n">
        <v>2</v>
      </c>
      <c r="C7" s="48" t="inlineStr">
        <is>
          <t>73586986653</t>
        </is>
      </c>
      <c r="D7" s="76" t="inlineStr">
        <is>
          <t>RICARDO JOSE ELOY</t>
        </is>
      </c>
      <c r="E7" s="77" t="inlineStr">
        <is>
          <t>MARCAÇÃO DE TOPOGRAFIA</t>
        </is>
      </c>
      <c r="G7" s="78" t="n">
        <v>2000</v>
      </c>
      <c r="I7" s="78" t="n">
        <v>2000</v>
      </c>
      <c r="J7" s="80" t="inlineStr">
        <is>
          <t>06/09/2024</t>
        </is>
      </c>
      <c r="K7" s="52" t="inlineStr">
        <is>
          <t>SERV</t>
        </is>
      </c>
      <c r="L7" t="inlineStr">
        <is>
          <t>ITAÚ    5636  118738 - CPF: 73.586.986.6-53</t>
        </is>
      </c>
      <c r="N7">
        <f>IF(ISERROR(SEARCH("NF",E7,1)),"NÃO","SIM")</f>
        <v/>
      </c>
      <c r="O7">
        <f>IF($B7=5,"SIM","")</f>
        <v/>
      </c>
      <c r="P7" s="81">
        <f>A7&amp;B7&amp;C7&amp;E7&amp;G7&amp;EDATE(J7,0)</f>
        <v/>
      </c>
      <c r="Q7" s="71">
        <f>IF(A7=0,"",VLOOKUP($A7,RESUMO!$A$8:$B$83,2,FALSE))</f>
        <v/>
      </c>
    </row>
    <row r="8">
      <c r="A8" s="50" t="n">
        <v>45540</v>
      </c>
      <c r="B8" s="71" t="n">
        <v>3</v>
      </c>
      <c r="C8" s="48" t="inlineStr">
        <is>
          <t>46423467000145</t>
        </is>
      </c>
      <c r="D8" s="76" t="inlineStr">
        <is>
          <t>MR DESENTUPIDORA</t>
        </is>
      </c>
      <c r="E8" s="77" t="inlineStr">
        <is>
          <t>BANHEIRO QUIMICO - NF 1189</t>
        </is>
      </c>
      <c r="G8" s="78" t="n">
        <v>1300</v>
      </c>
      <c r="I8" s="78" t="n">
        <v>1300</v>
      </c>
      <c r="J8" s="80" t="inlineStr">
        <is>
          <t>16/09/2024</t>
        </is>
      </c>
      <c r="K8" s="52" t="inlineStr">
        <is>
          <t>MAT</t>
        </is>
      </c>
      <c r="N8">
        <f>IF(ISERROR(SEARCH("NF",E8,1)),"NÃO","SIM")</f>
        <v/>
      </c>
      <c r="O8">
        <f>IF($B8=5,"SIM","")</f>
        <v/>
      </c>
      <c r="P8" s="81">
        <f>A8&amp;B8&amp;C8&amp;E8&amp;G8&amp;EDATE(J8,0)</f>
        <v/>
      </c>
      <c r="Q8" s="71">
        <f>IF(A8=0,"",VLOOKUP($A8,RESUMO!$A$8:$B$83,2,FALSE))</f>
        <v/>
      </c>
    </row>
    <row r="9">
      <c r="A9" s="50" t="n">
        <v>45540</v>
      </c>
      <c r="B9" s="71" t="n">
        <v>4</v>
      </c>
      <c r="C9" s="48" t="inlineStr">
        <is>
          <t>27648990687</t>
        </is>
      </c>
      <c r="D9" s="76" t="inlineStr">
        <is>
          <t>ROGÉRIO VASCONCELOS SANTOS</t>
        </is>
      </c>
      <c r="E9" s="77" t="inlineStr">
        <is>
          <t xml:space="preserve">REGISTRO DE IMÓVEIS 24/05 - REEMBOLSO </t>
        </is>
      </c>
      <c r="G9" s="78" t="n">
        <v>38.77</v>
      </c>
      <c r="I9" s="78" t="n">
        <v>38.77</v>
      </c>
      <c r="J9" s="80" t="inlineStr">
        <is>
          <t>24/05/2024</t>
        </is>
      </c>
      <c r="K9" s="52" t="inlineStr">
        <is>
          <t>MO</t>
        </is>
      </c>
      <c r="L9" t="inlineStr">
        <is>
          <t>PIX: 31995901635</t>
        </is>
      </c>
      <c r="N9">
        <f>IF(ISERROR(SEARCH("NF",E9,1)),"NÃO","SIM")</f>
        <v/>
      </c>
      <c r="O9">
        <f>IF($B9=5,"SIM","")</f>
        <v/>
      </c>
      <c r="P9" s="81">
        <f>A9&amp;B9&amp;C9&amp;E9&amp;G9&amp;EDATE(J9,0)</f>
        <v/>
      </c>
      <c r="Q9" s="71">
        <f>IF(A9=0,"",VLOOKUP($A9,RESUMO!$A$8:$B$83,2,FALSE))</f>
        <v/>
      </c>
    </row>
    <row r="10">
      <c r="A10" s="50" t="n">
        <v>45540</v>
      </c>
      <c r="B10" s="71" t="n">
        <v>5</v>
      </c>
      <c r="C10" s="48" t="inlineStr">
        <is>
          <t>43828098000182</t>
        </is>
      </c>
      <c r="D10" s="76" t="inlineStr">
        <is>
          <t>MADESCOM MADEIREIRA</t>
        </is>
      </c>
      <c r="E10" s="77" t="inlineStr">
        <is>
          <t>PONTALETE - PED. 47.192</t>
        </is>
      </c>
      <c r="G10" s="78" t="n">
        <v>1265</v>
      </c>
      <c r="I10" s="78" t="n">
        <v>1265</v>
      </c>
      <c r="J10" s="80" t="inlineStr">
        <is>
          <t>16/08/2024</t>
        </is>
      </c>
      <c r="K10" s="52" t="inlineStr">
        <is>
          <t>MAT</t>
        </is>
      </c>
      <c r="N10">
        <f>IF(ISERROR(SEARCH("NF",E10,1)),"NÃO","SIM")</f>
        <v/>
      </c>
      <c r="O10">
        <f>IF($B10=5,"SIM","")</f>
        <v/>
      </c>
      <c r="P10" s="81">
        <f>A10&amp;B10&amp;C10&amp;E10&amp;G10&amp;EDATE(J10,0)</f>
        <v/>
      </c>
      <c r="Q10" s="71">
        <f>IF(A10=0,"",VLOOKUP($A10,RESUMO!$A$8:$B$83,2,FALSE))</f>
        <v/>
      </c>
    </row>
    <row r="11">
      <c r="A11" s="39" t="n">
        <v>45540</v>
      </c>
      <c r="B11" s="53" t="n">
        <v>5</v>
      </c>
      <c r="C11" t="inlineStr">
        <is>
          <t>18850040000279</t>
        </is>
      </c>
      <c r="D11" t="inlineStr">
        <is>
          <t>CASA DAS LONAS LTDA</t>
        </is>
      </c>
      <c r="E11" t="inlineStr">
        <is>
          <t>LONA AGRICOLA - NF 28110</t>
        </is>
      </c>
      <c r="G11" s="78" t="n">
        <v>1788</v>
      </c>
      <c r="H11" s="85" t="n"/>
      <c r="I11" s="78" t="n">
        <v>1788</v>
      </c>
      <c r="J11" s="39" t="inlineStr">
        <is>
          <t>21/08/2024</t>
        </is>
      </c>
      <c r="K11" t="inlineStr">
        <is>
          <t>MAT</t>
        </is>
      </c>
      <c r="N11">
        <f>IF(ISERROR(SEARCH("NF",E11,1)),"NÃO","SIM")</f>
        <v/>
      </c>
      <c r="O11">
        <f>IF($B11=5,"SIM","")</f>
        <v/>
      </c>
      <c r="P11" s="81">
        <f>A11&amp;B11&amp;C11&amp;E11&amp;G11&amp;EDATE(J11,0)</f>
        <v/>
      </c>
      <c r="Q11" s="71">
        <f>IF(A11=0,"",VLOOKUP($A11,RESUMO!$A$8:$B$83,2,FALSE))</f>
        <v/>
      </c>
    </row>
    <row r="12">
      <c r="A12" s="50" t="n">
        <v>45540</v>
      </c>
      <c r="B12" s="71" t="n">
        <v>5</v>
      </c>
      <c r="C12" s="48" t="inlineStr">
        <is>
          <t>15746193000100</t>
        </is>
      </c>
      <c r="D12" s="76" t="inlineStr">
        <is>
          <t xml:space="preserve">TRILHA DE MINAS </t>
        </is>
      </c>
      <c r="E12" s="77" t="inlineStr">
        <is>
          <t>SINAL - 30% TERRAPLANAGEM</t>
        </is>
      </c>
      <c r="G12" s="78" t="n">
        <v>70000</v>
      </c>
      <c r="I12" s="78" t="n">
        <v>70000</v>
      </c>
      <c r="J12" s="80" t="inlineStr">
        <is>
          <t>29/08/2024</t>
        </is>
      </c>
      <c r="K12" s="52" t="inlineStr">
        <is>
          <t>SERV</t>
        </is>
      </c>
      <c r="N12">
        <f>IF(ISERROR(SEARCH("NF",E12,1)),"NÃO","SIM")</f>
        <v/>
      </c>
      <c r="O12">
        <f>IF($B12=5,"SIM","")</f>
        <v/>
      </c>
      <c r="P12" s="81">
        <f>A12&amp;B12&amp;C12&amp;E12&amp;G12&amp;EDATE(J12,0)</f>
        <v/>
      </c>
      <c r="Q12" s="71">
        <f>IF(A12=0,"",VLOOKUP($A12,RESUMO!$A$8:$B$83,2,FALSE))</f>
        <v/>
      </c>
    </row>
    <row r="13">
      <c r="A13" s="50" t="n">
        <v>45540</v>
      </c>
      <c r="B13" s="71" t="n">
        <v>7</v>
      </c>
      <c r="C13" s="48" t="inlineStr">
        <is>
          <t>30104762000107</t>
        </is>
      </c>
      <c r="D13" s="76" t="inlineStr">
        <is>
          <t>VASCONCELOS &amp; RINALDI ENGENHARIA</t>
        </is>
      </c>
      <c r="E13" s="77" t="inlineStr">
        <is>
          <t>ADM 13% - NF A EMITIR</t>
        </is>
      </c>
      <c r="G13" s="78" t="n">
        <v>10230.97</v>
      </c>
      <c r="I13" s="78" t="n">
        <v>10230.97</v>
      </c>
      <c r="J13" s="80" t="inlineStr">
        <is>
          <t>06/09/2024</t>
        </is>
      </c>
      <c r="K13" s="52" t="inlineStr">
        <is>
          <t>ADM</t>
        </is>
      </c>
      <c r="L13" t="inlineStr">
        <is>
          <t>PIX: 30104762000107</t>
        </is>
      </c>
      <c r="N13">
        <f>IF(ISERROR(SEARCH("NF",E13,1)),"NÃO","SIM")</f>
        <v/>
      </c>
      <c r="O13">
        <f>IF($B13=5,"SIM","")</f>
        <v/>
      </c>
      <c r="P13" s="81">
        <f>A13&amp;B13&amp;C13&amp;E13&amp;G13&amp;EDATE(J13,0)</f>
        <v/>
      </c>
      <c r="Q13" s="71">
        <f>IF(A13=0,"",VLOOKUP($A13,RESUMO!$A$8:$B$83,2,FALSE))</f>
        <v/>
      </c>
    </row>
    <row r="14">
      <c r="A14" s="50" t="n">
        <v>45555</v>
      </c>
      <c r="B14" s="71" t="n">
        <v>1</v>
      </c>
      <c r="C14" s="48" t="inlineStr">
        <is>
          <t>14758063613</t>
        </is>
      </c>
      <c r="D14" s="76" t="inlineStr">
        <is>
          <t>IZAEL BISPO OLIVEIRA</t>
        </is>
      </c>
      <c r="E14" s="77" t="inlineStr">
        <is>
          <t>DIÁRIA</t>
        </is>
      </c>
      <c r="G14" s="78" t="n">
        <v>200</v>
      </c>
      <c r="H14" s="79" t="n">
        <v>10</v>
      </c>
      <c r="I14" s="78" t="n">
        <v>2000</v>
      </c>
      <c r="J14" s="80" t="inlineStr">
        <is>
          <t>20/09/2024</t>
        </is>
      </c>
      <c r="K14" s="52" t="inlineStr">
        <is>
          <t>MO</t>
        </is>
      </c>
      <c r="L14" t="inlineStr">
        <is>
          <t>PIX: 14758063613</t>
        </is>
      </c>
      <c r="N14">
        <f>IF(ISERROR(SEARCH("NF",E14,1)),"NÃO","SIM")</f>
        <v/>
      </c>
      <c r="O14">
        <f>IF($B14=5,"SIM","")</f>
        <v/>
      </c>
      <c r="P14" s="81">
        <f>A14&amp;B14&amp;C14&amp;E14&amp;G14&amp;EDATE(J14,0)</f>
        <v/>
      </c>
      <c r="Q14" s="71">
        <f>IF(A14=0,"",VLOOKUP($A14,RESUMO!$A$8:$B$83,2,FALSE))</f>
        <v/>
      </c>
    </row>
    <row r="15">
      <c r="A15" s="50" t="n">
        <v>45555</v>
      </c>
      <c r="B15" s="71" t="n">
        <v>1</v>
      </c>
      <c r="C15" s="48" t="inlineStr">
        <is>
          <t>31699502668</t>
        </is>
      </c>
      <c r="D15" s="76" t="inlineStr">
        <is>
          <t>ANTONIO ZEFERINO LEANDRO</t>
        </is>
      </c>
      <c r="E15" s="77" t="inlineStr">
        <is>
          <t>DIÁRIA</t>
        </is>
      </c>
      <c r="G15" s="78" t="n">
        <v>200</v>
      </c>
      <c r="H15" s="79" t="n">
        <v>7</v>
      </c>
      <c r="I15" s="78" t="n">
        <v>1400</v>
      </c>
      <c r="J15" s="80" t="inlineStr">
        <is>
          <t>20/09/2024</t>
        </is>
      </c>
      <c r="K15" s="52" t="inlineStr">
        <is>
          <t>MO</t>
        </is>
      </c>
      <c r="L15" t="inlineStr">
        <is>
          <t>PIX: 31699502668</t>
        </is>
      </c>
      <c r="N15">
        <f>IF(ISERROR(SEARCH("NF",E15,1)),"NÃO","SIM")</f>
        <v/>
      </c>
      <c r="O15">
        <f>IF($B15=5,"SIM","")</f>
        <v/>
      </c>
      <c r="P15" s="81">
        <f>A15&amp;B15&amp;C15&amp;E15&amp;G15&amp;EDATE(J15,0)</f>
        <v/>
      </c>
      <c r="Q15" s="71">
        <f>IF(A15=0,"",VLOOKUP($A15,RESUMO!$A$8:$B$83,2,FALSE))</f>
        <v/>
      </c>
    </row>
    <row r="16">
      <c r="A16" s="50" t="n">
        <v>45555</v>
      </c>
      <c r="B16" s="71" t="n">
        <v>2</v>
      </c>
      <c r="C16" s="48" t="inlineStr">
        <is>
          <t>73586986653</t>
        </is>
      </c>
      <c r="D16" s="76" t="inlineStr">
        <is>
          <t>RICARDO JOSE ELOY</t>
        </is>
      </c>
      <c r="E16" s="77" t="inlineStr">
        <is>
          <t>MARCAÇÃO DE TOPOGRAFIA</t>
        </is>
      </c>
      <c r="G16" s="78" t="n">
        <v>1200</v>
      </c>
      <c r="I16" s="78" t="n">
        <v>1200</v>
      </c>
      <c r="J16" s="80" t="inlineStr">
        <is>
          <t>20/09/2024</t>
        </is>
      </c>
      <c r="K16" s="52" t="inlineStr">
        <is>
          <t>SERV</t>
        </is>
      </c>
      <c r="L16" t="inlineStr">
        <is>
          <t>ITAÚ    5636  118738 - CPF: 73.586.986.6-53</t>
        </is>
      </c>
      <c r="N16">
        <f>IF(ISERROR(SEARCH("NF",E16,1)),"NÃO","SIM")</f>
        <v/>
      </c>
      <c r="O16">
        <f>IF($B16=5,"SIM","")</f>
        <v/>
      </c>
      <c r="P16" s="81">
        <f>A16&amp;B16&amp;C16&amp;E16&amp;G16&amp;EDATE(J16,0)</f>
        <v/>
      </c>
      <c r="Q16" s="71">
        <f>IF(A16=0,"",VLOOKUP($A16,RESUMO!$A$8:$B$83,2,FALSE))</f>
        <v/>
      </c>
    </row>
    <row r="17">
      <c r="A17" s="50" t="n">
        <v>45555</v>
      </c>
      <c r="B17" s="71" t="n">
        <v>3</v>
      </c>
      <c r="C17" s="48" t="inlineStr">
        <is>
          <t>32392731000116</t>
        </is>
      </c>
      <c r="D17" s="76" t="inlineStr">
        <is>
          <t>DEPÓSITO 040</t>
        </is>
      </c>
      <c r="E17" s="77" t="inlineStr">
        <is>
          <t>MATERIAIS DIVERSOS - NF 1323</t>
        </is>
      </c>
      <c r="G17" s="78" t="n">
        <v>967.3</v>
      </c>
      <c r="I17" s="78" t="n">
        <v>967.3</v>
      </c>
      <c r="J17" s="80" t="inlineStr">
        <is>
          <t>27/09/2024</t>
        </is>
      </c>
      <c r="K17" s="52" t="inlineStr">
        <is>
          <t>MAT</t>
        </is>
      </c>
      <c r="N17">
        <f>IF(ISERROR(SEARCH("NF",E17,1)),"NÃO","SIM")</f>
        <v/>
      </c>
      <c r="O17">
        <f>IF($B17=5,"SIM","")</f>
        <v/>
      </c>
      <c r="P17" s="81">
        <f>A17&amp;B17&amp;C17&amp;E17&amp;G17&amp;EDATE(J17,0)</f>
        <v/>
      </c>
      <c r="Q17" s="71">
        <f>IF(A17=0,"",VLOOKUP($A17,RESUMO!$A$8:$B$83,2,FALSE))</f>
        <v/>
      </c>
    </row>
    <row r="18">
      <c r="A18" s="50" t="n">
        <v>45555</v>
      </c>
      <c r="B18" s="71" t="n">
        <v>5</v>
      </c>
      <c r="C18" s="48" t="inlineStr">
        <is>
          <t>15746193000100</t>
        </is>
      </c>
      <c r="D18" s="76" t="inlineStr">
        <is>
          <t xml:space="preserve">TRILHA DE MINAS </t>
        </is>
      </c>
      <c r="E18" s="77" t="inlineStr">
        <is>
          <t>SERVIÇO TERRAPLANGEM - NF 512</t>
        </is>
      </c>
      <c r="G18" s="78" t="n">
        <v>60000</v>
      </c>
      <c r="I18" s="78" t="n">
        <v>60000</v>
      </c>
      <c r="J18" s="80" t="inlineStr">
        <is>
          <t>11/09/2024</t>
        </is>
      </c>
      <c r="K18" s="52" t="inlineStr">
        <is>
          <t>SERV</t>
        </is>
      </c>
      <c r="N18">
        <f>IF(ISERROR(SEARCH("NF",E18,1)),"NÃO","SIM")</f>
        <v/>
      </c>
      <c r="O18">
        <f>IF($B18=5,"SIM","")</f>
        <v/>
      </c>
      <c r="P18" s="81">
        <f>A18&amp;B18&amp;C18&amp;E18&amp;G18&amp;EDATE(J18,0)</f>
        <v/>
      </c>
      <c r="Q18" s="71">
        <f>IF(A18=0,"",VLOOKUP($A18,RESUMO!$A$8:$B$83,2,FALSE))</f>
        <v/>
      </c>
    </row>
    <row r="19">
      <c r="A19" s="50" t="n">
        <v>45555</v>
      </c>
      <c r="B19" s="71" t="n">
        <v>5</v>
      </c>
      <c r="C19" s="48" t="inlineStr">
        <is>
          <t>00064354600</t>
        </is>
      </c>
      <c r="D19" s="76" t="inlineStr">
        <is>
          <t>ORIDES ELOI DE OLIVEIRA NETO</t>
        </is>
      </c>
      <c r="E19" s="77" t="inlineStr">
        <is>
          <t>RETIRADA CORTINAS</t>
        </is>
      </c>
      <c r="G19" s="78" t="n">
        <v>5134</v>
      </c>
      <c r="I19" s="78" t="n">
        <v>5134</v>
      </c>
      <c r="J19" s="80" t="inlineStr">
        <is>
          <t>12/09/2024</t>
        </is>
      </c>
      <c r="K19" s="52" t="inlineStr">
        <is>
          <t>SERV</t>
        </is>
      </c>
      <c r="N19">
        <f>IF(ISERROR(SEARCH("NF",E19,1)),"NÃO","SIM")</f>
        <v/>
      </c>
      <c r="O19">
        <f>IF($B19=5,"SIM","")</f>
        <v/>
      </c>
      <c r="P19" s="81">
        <f>A19&amp;B19&amp;C19&amp;E19&amp;G19&amp;EDATE(J19,0)</f>
        <v/>
      </c>
      <c r="Q19" s="71">
        <f>IF(A19=0,"",VLOOKUP($A19,RESUMO!$A$8:$B$83,2,FALSE))</f>
        <v/>
      </c>
    </row>
    <row r="20">
      <c r="A20" s="50" t="n">
        <v>45555</v>
      </c>
      <c r="B20" s="71" t="n">
        <v>5</v>
      </c>
      <c r="C20" s="48" t="inlineStr">
        <is>
          <t>10272028000131</t>
        </is>
      </c>
      <c r="D20" s="76" t="inlineStr">
        <is>
          <t>MASTER SOUND</t>
        </is>
      </c>
      <c r="E20" s="77" t="inlineStr">
        <is>
          <t>RETIRADA EQUIP. AUDIO</t>
        </is>
      </c>
      <c r="G20" s="78" t="n">
        <v>890</v>
      </c>
      <c r="I20" s="78" t="n">
        <v>890</v>
      </c>
      <c r="J20" s="80" t="inlineStr">
        <is>
          <t>12/09/2024</t>
        </is>
      </c>
      <c r="K20" s="52" t="inlineStr">
        <is>
          <t>MAT</t>
        </is>
      </c>
      <c r="N20">
        <f>IF(ISERROR(SEARCH("NF",E20,1)),"NÃO","SIM")</f>
        <v/>
      </c>
      <c r="O20">
        <f>IF($B20=5,"SIM","")</f>
        <v/>
      </c>
      <c r="P20" s="81">
        <f>A20&amp;B20&amp;C20&amp;E20&amp;G20&amp;EDATE(J20,0)</f>
        <v/>
      </c>
      <c r="Q20" s="71">
        <f>IF(A20=0,"",VLOOKUP($A20,RESUMO!$A$8:$B$83,2,FALSE))</f>
        <v/>
      </c>
    </row>
    <row r="21">
      <c r="A21" s="50" t="n">
        <v>45555</v>
      </c>
      <c r="B21" s="71" t="n">
        <v>5</v>
      </c>
      <c r="C21" s="48" t="inlineStr">
        <is>
          <t>04704622000151</t>
        </is>
      </c>
      <c r="D21" s="76" t="inlineStr">
        <is>
          <t>PROJETART MOVEIS</t>
        </is>
      </c>
      <c r="E21" s="77" t="inlineStr">
        <is>
          <t>DESMONTAGEM MOVEIS - NF 152</t>
        </is>
      </c>
      <c r="G21" s="78" t="n">
        <v>1600</v>
      </c>
      <c r="I21" s="78" t="n">
        <v>1600</v>
      </c>
      <c r="J21" s="80" t="inlineStr">
        <is>
          <t>13/09/2024</t>
        </is>
      </c>
      <c r="K21" s="52" t="inlineStr">
        <is>
          <t>MAT</t>
        </is>
      </c>
      <c r="N21">
        <f>IF(ISERROR(SEARCH("NF",E21,1)),"NÃO","SIM")</f>
        <v/>
      </c>
      <c r="O21">
        <f>IF($B21=5,"SIM","")</f>
        <v/>
      </c>
      <c r="P21" s="81">
        <f>A21&amp;B21&amp;C21&amp;E21&amp;G21&amp;EDATE(J21,0)</f>
        <v/>
      </c>
      <c r="Q21" s="71">
        <f>IF(A21=0,"",VLOOKUP($A21,RESUMO!$A$8:$B$83,2,FALSE))</f>
        <v/>
      </c>
    </row>
    <row r="22">
      <c r="A22" s="50" t="n">
        <v>45555</v>
      </c>
      <c r="B22" s="71" t="n">
        <v>7</v>
      </c>
      <c r="C22" s="48" t="inlineStr">
        <is>
          <t>30104762000107</t>
        </is>
      </c>
      <c r="D22" s="76" t="inlineStr">
        <is>
          <t>VASCONCELOS &amp; RINALDI ENGENHARIA</t>
        </is>
      </c>
      <c r="E22" s="77" t="inlineStr">
        <is>
          <t>ADM 13% - NF A EMITIR</t>
        </is>
      </c>
      <c r="G22" s="78" t="n">
        <v>9514.870000000001</v>
      </c>
      <c r="I22" s="78" t="n">
        <v>9514.870000000001</v>
      </c>
      <c r="J22" s="80" t="inlineStr">
        <is>
          <t>20/09/2024</t>
        </is>
      </c>
      <c r="K22" s="52" t="inlineStr">
        <is>
          <t>ADM</t>
        </is>
      </c>
      <c r="L22" t="inlineStr">
        <is>
          <t>PIX: 30104762000107</t>
        </is>
      </c>
      <c r="N22">
        <f>IF(ISERROR(SEARCH("NF",E22,1)),"NÃO","SIM")</f>
        <v/>
      </c>
      <c r="O22">
        <f>IF($B22=5,"SIM","")</f>
        <v/>
      </c>
      <c r="P22" s="81">
        <f>A22&amp;B22&amp;C22&amp;E22&amp;G22&amp;EDATE(J22,0)</f>
        <v/>
      </c>
      <c r="Q22" s="71">
        <f>IF(A22=0,"",VLOOKUP($A22,RESUMO!$A$8:$B$83,2,FALSE))</f>
        <v/>
      </c>
    </row>
    <row r="23">
      <c r="A23" s="50" t="n">
        <v>45570</v>
      </c>
      <c r="B23" s="71" t="n">
        <v>1</v>
      </c>
      <c r="C23" s="48" t="inlineStr">
        <is>
          <t>14758063613</t>
        </is>
      </c>
      <c r="D23" s="76" t="inlineStr">
        <is>
          <t>IZAEL BISPO OLIVEIRA</t>
        </is>
      </c>
      <c r="E23" s="77" t="inlineStr">
        <is>
          <t>DIÁRIA</t>
        </is>
      </c>
      <c r="G23" s="78" t="n">
        <v>200</v>
      </c>
      <c r="H23" s="79" t="n">
        <v>10</v>
      </c>
      <c r="I23" s="78" t="n">
        <v>2000</v>
      </c>
      <c r="J23" s="80" t="inlineStr">
        <is>
          <t>04/10/2024</t>
        </is>
      </c>
      <c r="K23" s="52" t="inlineStr">
        <is>
          <t>MO</t>
        </is>
      </c>
      <c r="L23" t="inlineStr">
        <is>
          <t>PIX: 14758063613</t>
        </is>
      </c>
      <c r="N23">
        <f>IF(ISERROR(SEARCH("NF",E23,1)),"NÃO","SIM")</f>
        <v/>
      </c>
      <c r="O23">
        <f>IF($B23=5,"SIM","")</f>
        <v/>
      </c>
      <c r="P23" s="81">
        <f>A23&amp;B23&amp;C23&amp;E23&amp;G23&amp;EDATE(J23,0)</f>
        <v/>
      </c>
      <c r="Q23" s="71">
        <f>IF(A23=0,"",VLOOKUP($A23,RESUMO!$A$8:$B$83,2,FALSE))</f>
        <v/>
      </c>
    </row>
    <row r="24">
      <c r="A24" s="50" t="n">
        <v>45570</v>
      </c>
      <c r="B24" s="71" t="n">
        <v>2</v>
      </c>
      <c r="C24" s="48" t="inlineStr">
        <is>
          <t>07834753000141</t>
        </is>
      </c>
      <c r="D24" s="76" t="inlineStr">
        <is>
          <t>ANCORA PAPELARIA</t>
        </is>
      </c>
      <c r="E24" s="77" t="inlineStr">
        <is>
          <t>PLOTAGENS - NF A EMITIR</t>
        </is>
      </c>
      <c r="G24" s="78" t="n">
        <v>572</v>
      </c>
      <c r="I24" s="78" t="n">
        <v>572</v>
      </c>
      <c r="J24" s="80" t="inlineStr">
        <is>
          <t>04/10/2024</t>
        </is>
      </c>
      <c r="K24" s="52" t="inlineStr">
        <is>
          <t>SERV</t>
        </is>
      </c>
      <c r="L24" t="inlineStr">
        <is>
          <t>PIX: ancorapapelaria@gmail.com</t>
        </is>
      </c>
      <c r="N24">
        <f>IF(ISERROR(SEARCH("NF",E24,1)),"NÃO","SIM")</f>
        <v/>
      </c>
      <c r="O24">
        <f>IF($B24=5,"SIM","")</f>
        <v/>
      </c>
      <c r="P24" s="81">
        <f>A24&amp;B24&amp;C24&amp;E24&amp;G24&amp;EDATE(J24,0)</f>
        <v/>
      </c>
      <c r="Q24" s="71">
        <f>IF(A24=0,"",VLOOKUP($A24,RESUMO!$A$8:$B$83,2,FALSE))</f>
        <v/>
      </c>
    </row>
    <row r="25">
      <c r="A25" s="50" t="n">
        <v>45570</v>
      </c>
      <c r="B25" s="71" t="n">
        <v>2</v>
      </c>
      <c r="C25" s="48" t="inlineStr">
        <is>
          <t>00000011207</t>
        </is>
      </c>
      <c r="D25" s="76" t="inlineStr">
        <is>
          <t>MOTOBOY</t>
        </is>
      </c>
      <c r="E25" s="77" t="inlineStr">
        <is>
          <t>COMPETENCIA 09/2024</t>
        </is>
      </c>
      <c r="G25" s="78" t="n">
        <v>135</v>
      </c>
      <c r="I25" s="78" t="n">
        <v>135</v>
      </c>
      <c r="J25" s="80" t="inlineStr">
        <is>
          <t>04/10/2024</t>
        </is>
      </c>
      <c r="K25" s="52" t="inlineStr">
        <is>
          <t>DIV</t>
        </is>
      </c>
      <c r="L25" t="inlineStr">
        <is>
          <t>PIX: 31995901635</t>
        </is>
      </c>
      <c r="N25">
        <f>IF(ISERROR(SEARCH("NF",E25,1)),"NÃO","SIM")</f>
        <v/>
      </c>
      <c r="O25">
        <f>IF($B25=5,"SIM","")</f>
        <v/>
      </c>
      <c r="P25" s="81">
        <f>A25&amp;B25&amp;C25&amp;E25&amp;G25&amp;EDATE(J25,0)</f>
        <v/>
      </c>
      <c r="Q25" s="71">
        <f>IF(A25=0,"",VLOOKUP($A25,RESUMO!$A$8:$B$83,2,FALSE))</f>
        <v/>
      </c>
    </row>
    <row r="26">
      <c r="A26" s="50" t="n">
        <v>45570</v>
      </c>
      <c r="B26" s="71" t="n">
        <v>3</v>
      </c>
      <c r="C26" s="48" t="inlineStr">
        <is>
          <t>42979237000378</t>
        </is>
      </c>
      <c r="D26" s="76" t="inlineStr">
        <is>
          <t>TECFER COM E IND DE FERRO E MAT CONSTR LTDA</t>
        </is>
      </c>
      <c r="E26" s="77" t="inlineStr">
        <is>
          <t>TELHA, PREGO, ARAME - NF A EMITIR</t>
        </is>
      </c>
      <c r="G26" s="78" t="n">
        <v>5197.39</v>
      </c>
      <c r="I26" s="78" t="n">
        <v>5197.39</v>
      </c>
      <c r="J26" s="80" t="inlineStr">
        <is>
          <t>04/10/2024</t>
        </is>
      </c>
      <c r="K26" s="52" t="inlineStr">
        <is>
          <t>MAT</t>
        </is>
      </c>
      <c r="N26">
        <f>IF(ISERROR(SEARCH("NF",E26,1)),"NÃO","SIM")</f>
        <v/>
      </c>
      <c r="O26">
        <f>IF($B26=5,"SIM","")</f>
        <v/>
      </c>
      <c r="P26" s="81">
        <f>A26&amp;B26&amp;C26&amp;E26&amp;G26&amp;EDATE(J26,0)</f>
        <v/>
      </c>
      <c r="Q26" s="71">
        <f>IF(A26=0,"",VLOOKUP($A26,RESUMO!$A$8:$B$83,2,FALSE))</f>
        <v/>
      </c>
    </row>
    <row r="27">
      <c r="A27" s="50" t="n">
        <v>45570</v>
      </c>
      <c r="B27" s="71" t="n">
        <v>3</v>
      </c>
      <c r="C27" s="48" t="inlineStr">
        <is>
          <t>46423467000145</t>
        </is>
      </c>
      <c r="D27" s="76" t="inlineStr">
        <is>
          <t>MR DESENTUPIDORA</t>
        </is>
      </c>
      <c r="E27" s="77" t="inlineStr">
        <is>
          <t>LOCAÇÃO DE BANHEIRO - FL 1392</t>
        </is>
      </c>
      <c r="G27" s="78" t="n">
        <v>1300</v>
      </c>
      <c r="I27" s="78" t="n">
        <v>1300</v>
      </c>
      <c r="J27" s="80" t="inlineStr">
        <is>
          <t>16/10/2024</t>
        </is>
      </c>
      <c r="K27" s="52" t="inlineStr">
        <is>
          <t>MAT</t>
        </is>
      </c>
      <c r="N27">
        <f>IF(ISERROR(SEARCH("NF",E27,1)),"NÃO","SIM")</f>
        <v/>
      </c>
      <c r="O27">
        <f>IF($B27=5,"SIM","")</f>
        <v/>
      </c>
      <c r="P27" s="81">
        <f>A27&amp;B27&amp;C27&amp;E27&amp;G27&amp;EDATE(J27,0)</f>
        <v/>
      </c>
      <c r="Q27" s="71">
        <f>IF(A27=0,"",VLOOKUP($A27,RESUMO!$A$8:$B$83,2,FALSE))</f>
        <v/>
      </c>
    </row>
    <row r="28">
      <c r="A28" s="50" t="n">
        <v>45570</v>
      </c>
      <c r="B28" s="71" t="n">
        <v>3</v>
      </c>
      <c r="C28" s="48" t="inlineStr">
        <is>
          <t>07409393000130</t>
        </is>
      </c>
      <c r="D28" s="76" t="inlineStr">
        <is>
          <t>LOCFER</t>
        </is>
      </c>
      <c r="E28" s="77" t="inlineStr">
        <is>
          <t>MARTELO - NF 26128</t>
        </is>
      </c>
      <c r="G28" s="78" t="n">
        <v>320</v>
      </c>
      <c r="I28" s="78" t="n">
        <v>320</v>
      </c>
      <c r="J28" s="80" t="inlineStr">
        <is>
          <t>17/10/2024</t>
        </is>
      </c>
      <c r="K28" s="52" t="inlineStr">
        <is>
          <t>LOC</t>
        </is>
      </c>
      <c r="N28">
        <f>IF(ISERROR(SEARCH("NF",E28,1)),"NÃO","SIM")</f>
        <v/>
      </c>
      <c r="O28">
        <f>IF($B28=5,"SIM","")</f>
        <v/>
      </c>
      <c r="P28" s="81">
        <f>A28&amp;B28&amp;C28&amp;E28&amp;G28&amp;EDATE(J28,0)</f>
        <v/>
      </c>
      <c r="Q28" s="71">
        <f>IF(A28=0,"",VLOOKUP($A28,RESUMO!$A$8:$B$83,2,FALSE))</f>
        <v/>
      </c>
    </row>
    <row r="29">
      <c r="A29" s="50" t="n">
        <v>45570</v>
      </c>
      <c r="B29" s="71" t="n">
        <v>5</v>
      </c>
      <c r="C29" s="48" t="inlineStr">
        <is>
          <t>03891863683</t>
        </is>
      </c>
      <c r="D29" s="76" t="inlineStr">
        <is>
          <t>LEANDRO ALVES</t>
        </is>
      </c>
      <c r="E29" s="77" t="inlineStr">
        <is>
          <t>ELETRICISTA</t>
        </is>
      </c>
      <c r="G29" s="78" t="n">
        <v>400</v>
      </c>
      <c r="I29" s="78" t="n">
        <v>400</v>
      </c>
      <c r="J29" s="80" t="inlineStr">
        <is>
          <t>17/09/2024</t>
        </is>
      </c>
      <c r="K29" s="52" t="inlineStr">
        <is>
          <t>SERV</t>
        </is>
      </c>
      <c r="N29">
        <f>IF(ISERROR(SEARCH("NF",E29,1)),"NÃO","SIM")</f>
        <v/>
      </c>
      <c r="O29">
        <f>IF($B29=5,"SIM","")</f>
        <v/>
      </c>
      <c r="P29" s="81">
        <f>A29&amp;B29&amp;C29&amp;E29&amp;G29&amp;EDATE(J29,0)</f>
        <v/>
      </c>
      <c r="Q29" s="71">
        <f>IF(A29=0,"",VLOOKUP($A29,RESUMO!$A$8:$B$83,2,FALSE))</f>
        <v/>
      </c>
    </row>
    <row r="30">
      <c r="A30" s="50" t="n">
        <v>45570</v>
      </c>
      <c r="B30" s="71" t="n">
        <v>5</v>
      </c>
      <c r="C30" s="48" t="inlineStr">
        <is>
          <t>15746193000100</t>
        </is>
      </c>
      <c r="D30" s="76" t="inlineStr">
        <is>
          <t xml:space="preserve">TRILHA DE MINAS </t>
        </is>
      </c>
      <c r="E30" s="77" t="inlineStr">
        <is>
          <t>TERRAPLANAGEM - NF 520</t>
        </is>
      </c>
      <c r="G30" s="78" t="n">
        <v>135250</v>
      </c>
      <c r="I30" s="78" t="n">
        <v>135250</v>
      </c>
      <c r="J30" s="80" t="inlineStr">
        <is>
          <t>25/09/2024</t>
        </is>
      </c>
      <c r="K30" s="52" t="inlineStr">
        <is>
          <t>SERV</t>
        </is>
      </c>
      <c r="N30">
        <f>IF(ISERROR(SEARCH("NF",E30,1)),"NÃO","SIM")</f>
        <v/>
      </c>
      <c r="O30">
        <f>IF($B30=5,"SIM","")</f>
        <v/>
      </c>
      <c r="P30" s="81">
        <f>A30&amp;B30&amp;C30&amp;E30&amp;G30&amp;EDATE(J30,0)</f>
        <v/>
      </c>
      <c r="Q30" s="71">
        <f>IF(A30=0,"",VLOOKUP($A30,RESUMO!$A$8:$B$83,2,FALSE))</f>
        <v/>
      </c>
    </row>
    <row r="31">
      <c r="A31" s="50" t="n">
        <v>45570</v>
      </c>
      <c r="B31" s="71" t="n">
        <v>7</v>
      </c>
      <c r="C31" s="48" t="inlineStr">
        <is>
          <t>30104762000107</t>
        </is>
      </c>
      <c r="D31" s="76" t="inlineStr">
        <is>
          <t>VASCONCELOS &amp; RINALDI ENGENHARIA</t>
        </is>
      </c>
      <c r="E31" s="77" t="inlineStr">
        <is>
          <t>ADM 13% - NF A EMITIR</t>
        </is>
      </c>
      <c r="G31" s="78" t="n">
        <v>18872.67</v>
      </c>
      <c r="I31" s="78" t="n">
        <v>18872.67</v>
      </c>
      <c r="J31" s="80" t="inlineStr">
        <is>
          <t>04/10/2024</t>
        </is>
      </c>
      <c r="K31" s="52" t="inlineStr">
        <is>
          <t>ADM</t>
        </is>
      </c>
      <c r="L31" t="inlineStr">
        <is>
          <t>PIX: 30104762000107</t>
        </is>
      </c>
      <c r="N31">
        <f>IF(ISERROR(SEARCH("NF",E31,1)),"NÃO","SIM")</f>
        <v/>
      </c>
      <c r="O31">
        <f>IF($B31=5,"SIM","")</f>
        <v/>
      </c>
      <c r="P31" s="81">
        <f>A31&amp;B31&amp;C31&amp;E31&amp;G31&amp;EDATE(J31,0)</f>
        <v/>
      </c>
      <c r="Q31" s="71">
        <f>IF(A31=0,"",VLOOKUP($A31,RESUMO!$A$8:$B$83,2,FALSE))</f>
        <v/>
      </c>
    </row>
    <row r="32">
      <c r="A32" s="50" t="n">
        <v>45585</v>
      </c>
      <c r="B32" s="71" t="n">
        <v>1</v>
      </c>
      <c r="C32" s="48" t="inlineStr">
        <is>
          <t>07573876670</t>
        </is>
      </c>
      <c r="D32" s="76" t="inlineStr">
        <is>
          <t>BRUNO JUNIO DA SILVA</t>
        </is>
      </c>
      <c r="E32" s="77" t="inlineStr">
        <is>
          <t>SALÁRIO</t>
        </is>
      </c>
      <c r="G32" s="78" t="n">
        <v>2080</v>
      </c>
      <c r="I32" s="78" t="n">
        <v>2080</v>
      </c>
      <c r="J32" s="80" t="inlineStr">
        <is>
          <t>18/10/2024</t>
        </is>
      </c>
      <c r="K32" s="52" t="inlineStr">
        <is>
          <t>MO</t>
        </is>
      </c>
      <c r="L32" t="inlineStr">
        <is>
          <t>PIX: 07573876670</t>
        </is>
      </c>
      <c r="N32">
        <f>IF(ISERROR(SEARCH("NF",E32,1)),"NÃO","SIM")</f>
        <v/>
      </c>
      <c r="O32">
        <f>IF($B32=5,"SIM","")</f>
        <v/>
      </c>
      <c r="P32" s="81">
        <f>A32&amp;B32&amp;C32&amp;E32&amp;G32&amp;EDATE(J32,0)</f>
        <v/>
      </c>
      <c r="Q32" s="71">
        <f>IF(A32=0,"",VLOOKUP($A32,RESUMO!$A$8:$B$83,2,FALSE))</f>
        <v/>
      </c>
    </row>
    <row r="33">
      <c r="A33" s="50" t="n">
        <v>45585</v>
      </c>
      <c r="B33" s="71" t="n">
        <v>1</v>
      </c>
      <c r="C33" s="48" t="inlineStr">
        <is>
          <t>00354432605</t>
        </is>
      </c>
      <c r="D33" s="76" t="inlineStr">
        <is>
          <t>ANTONIO DUTRA DE FREITAS</t>
        </is>
      </c>
      <c r="E33" s="77" t="inlineStr">
        <is>
          <t>SALÁRIO</t>
        </is>
      </c>
      <c r="G33" s="78" t="n">
        <v>883.84</v>
      </c>
      <c r="I33" s="78" t="n">
        <v>883.84</v>
      </c>
      <c r="J33" s="80" t="inlineStr">
        <is>
          <t>18/10/2024</t>
        </is>
      </c>
      <c r="K33" s="52" t="inlineStr">
        <is>
          <t>MO</t>
        </is>
      </c>
      <c r="L33" t="inlineStr">
        <is>
          <t>PIX: 31982618378</t>
        </is>
      </c>
      <c r="N33">
        <f>IF(ISERROR(SEARCH("NF",E33,1)),"NÃO","SIM")</f>
        <v/>
      </c>
      <c r="O33">
        <f>IF($B33=5,"SIM","")</f>
        <v/>
      </c>
      <c r="P33" s="81">
        <f>A33&amp;B33&amp;C33&amp;E33&amp;G33&amp;EDATE(J33,0)</f>
        <v/>
      </c>
      <c r="Q33" s="71">
        <f>IF(A33=0,"",VLOOKUP($A33,RESUMO!$A$8:$B$83,2,FALSE))</f>
        <v/>
      </c>
    </row>
    <row r="34">
      <c r="A34" s="50" t="n">
        <v>45585</v>
      </c>
      <c r="B34" s="71" t="n">
        <v>1</v>
      </c>
      <c r="C34" s="48" t="inlineStr">
        <is>
          <t>07249031600</t>
        </is>
      </c>
      <c r="D34" s="76" t="inlineStr">
        <is>
          <t>EDER PEREIRA DA SILVA</t>
        </is>
      </c>
      <c r="E34" s="77" t="inlineStr">
        <is>
          <t>SALÁRIO</t>
        </is>
      </c>
      <c r="G34" s="78" t="n">
        <v>883.84</v>
      </c>
      <c r="I34" s="78" t="n">
        <v>883.84</v>
      </c>
      <c r="J34" s="80" t="inlineStr">
        <is>
          <t>18/10/2024</t>
        </is>
      </c>
      <c r="K34" s="52" t="inlineStr">
        <is>
          <t>MO</t>
        </is>
      </c>
      <c r="L34" t="inlineStr">
        <is>
          <t>PIX: 07249031600</t>
        </is>
      </c>
      <c r="N34">
        <f>IF(ISERROR(SEARCH("NF",E34,1)),"NÃO","SIM")</f>
        <v/>
      </c>
      <c r="O34">
        <f>IF($B34=5,"SIM","")</f>
        <v/>
      </c>
      <c r="P34" s="81">
        <f>A34&amp;B34&amp;C34&amp;E34&amp;G34&amp;EDATE(J34,0)</f>
        <v/>
      </c>
      <c r="Q34" s="71">
        <f>IF(A34=0,"",VLOOKUP($A34,RESUMO!$A$8:$B$83,2,FALSE))</f>
        <v/>
      </c>
    </row>
    <row r="35">
      <c r="A35" s="50" t="n">
        <v>45585</v>
      </c>
      <c r="B35" s="71" t="n">
        <v>1</v>
      </c>
      <c r="C35" s="48" t="inlineStr">
        <is>
          <t>14758063613</t>
        </is>
      </c>
      <c r="D35" s="76" t="inlineStr">
        <is>
          <t>IZAEL BISPO OLIVEIRA</t>
        </is>
      </c>
      <c r="E35" s="77" t="inlineStr">
        <is>
          <t>SALÁRIO</t>
        </is>
      </c>
      <c r="G35" s="78" t="n">
        <v>883.84</v>
      </c>
      <c r="I35" s="78" t="n">
        <v>883.84</v>
      </c>
      <c r="J35" s="80" t="inlineStr">
        <is>
          <t>18/10/2024</t>
        </is>
      </c>
      <c r="K35" s="52" t="inlineStr">
        <is>
          <t>MO</t>
        </is>
      </c>
      <c r="L35" t="inlineStr">
        <is>
          <t>PIX: 14758063613</t>
        </is>
      </c>
      <c r="N35">
        <f>IF(ISERROR(SEARCH("NF",E35,1)),"NÃO","SIM")</f>
        <v/>
      </c>
      <c r="O35">
        <f>IF($B35=5,"SIM","")</f>
        <v/>
      </c>
      <c r="P35" s="81">
        <f>A35&amp;B35&amp;C35&amp;E35&amp;G35&amp;EDATE(J35,0)</f>
        <v/>
      </c>
      <c r="Q35" s="71">
        <f>IF(A35=0,"",VLOOKUP($A35,RESUMO!$A$8:$B$83,2,FALSE))</f>
        <v/>
      </c>
    </row>
    <row r="36">
      <c r="A36" s="50" t="n">
        <v>45585</v>
      </c>
      <c r="B36" s="71" t="n">
        <v>1</v>
      </c>
      <c r="C36" s="48" t="inlineStr">
        <is>
          <t>85086894387</t>
        </is>
      </c>
      <c r="D36" s="76" t="inlineStr">
        <is>
          <t>ROBEVAL PORTACIO DOS SANTOS</t>
        </is>
      </c>
      <c r="E36" s="77" t="inlineStr">
        <is>
          <t>SALÁRIO</t>
        </is>
      </c>
      <c r="G36" s="78" t="n">
        <v>514.24</v>
      </c>
      <c r="I36" s="78" t="n">
        <v>514.24</v>
      </c>
      <c r="J36" s="80" t="inlineStr">
        <is>
          <t>18/10/2024</t>
        </is>
      </c>
      <c r="K36" s="52" t="inlineStr">
        <is>
          <t>MO</t>
        </is>
      </c>
      <c r="L36" t="inlineStr">
        <is>
          <t>PIX: 31971706400</t>
        </is>
      </c>
      <c r="N36">
        <f>IF(ISERROR(SEARCH("NF",E36,1)),"NÃO","SIM")</f>
        <v/>
      </c>
      <c r="O36">
        <f>IF($B36=5,"SIM","")</f>
        <v/>
      </c>
      <c r="P36" s="81">
        <f>A36&amp;B36&amp;C36&amp;E36&amp;G36&amp;EDATE(J36,0)</f>
        <v/>
      </c>
      <c r="Q36" s="71">
        <f>IF(A36=0,"",VLOOKUP($A36,RESUMO!$A$8:$B$83,2,FALSE))</f>
        <v/>
      </c>
    </row>
    <row r="37">
      <c r="A37" s="50" t="n">
        <v>45585</v>
      </c>
      <c r="B37" s="71" t="n">
        <v>1</v>
      </c>
      <c r="C37" s="48" t="inlineStr">
        <is>
          <t>87942119653</t>
        </is>
      </c>
      <c r="D37" s="76" t="inlineStr">
        <is>
          <t>DOMINGOS DA SILVA LIMA</t>
        </is>
      </c>
      <c r="E37" s="77" t="inlineStr">
        <is>
          <t>SALÁRIO</t>
        </is>
      </c>
      <c r="G37" s="78" t="n">
        <v>514.24</v>
      </c>
      <c r="I37" s="78" t="n">
        <v>514.24</v>
      </c>
      <c r="J37" s="80" t="inlineStr">
        <is>
          <t>18/10/2024</t>
        </is>
      </c>
      <c r="K37" s="52" t="inlineStr">
        <is>
          <t>MO</t>
        </is>
      </c>
      <c r="L37" t="inlineStr">
        <is>
          <t>CEF  013  0892  00113057-1 - CPF: 87.942.119.6-53</t>
        </is>
      </c>
      <c r="N37">
        <f>IF(ISERROR(SEARCH("NF",E37,1)),"NÃO","SIM")</f>
        <v/>
      </c>
      <c r="O37">
        <f>IF($B37=5,"SIM","")</f>
        <v/>
      </c>
      <c r="P37" s="81">
        <f>A37&amp;B37&amp;C37&amp;E37&amp;G37&amp;EDATE(J37,0)</f>
        <v/>
      </c>
      <c r="Q37" s="71">
        <f>IF(A37=0,"",VLOOKUP($A37,RESUMO!$A$8:$B$83,2,FALSE))</f>
        <v/>
      </c>
    </row>
    <row r="38">
      <c r="A38" s="50" t="n">
        <v>45585</v>
      </c>
      <c r="B38" s="71" t="n">
        <v>1</v>
      </c>
      <c r="C38" s="48" t="inlineStr">
        <is>
          <t>75746980315</t>
        </is>
      </c>
      <c r="D38" s="76" t="inlineStr">
        <is>
          <t>FRANCISCO REGO DA SILVA</t>
        </is>
      </c>
      <c r="E38" s="77" t="inlineStr">
        <is>
          <t>SALÁRIO</t>
        </is>
      </c>
      <c r="G38" s="78" t="n">
        <v>732.8</v>
      </c>
      <c r="I38" s="78" t="n">
        <v>732.8</v>
      </c>
      <c r="J38" s="80" t="inlineStr">
        <is>
          <t>18/10/2024</t>
        </is>
      </c>
      <c r="K38" s="52" t="inlineStr">
        <is>
          <t>MO</t>
        </is>
      </c>
      <c r="L38" t="inlineStr">
        <is>
          <t>PIX: 75746980315</t>
        </is>
      </c>
      <c r="N38">
        <f>IF(ISERROR(SEARCH("NF",E38,1)),"NÃO","SIM")</f>
        <v/>
      </c>
      <c r="O38">
        <f>IF($B38=5,"SIM","")</f>
        <v/>
      </c>
      <c r="P38" s="81">
        <f>A38&amp;B38&amp;C38&amp;E38&amp;G38&amp;EDATE(J38,0)</f>
        <v/>
      </c>
      <c r="Q38" s="71">
        <f>IF(A38=0,"",VLOOKUP($A38,RESUMO!$A$8:$B$83,2,FALSE))</f>
        <v/>
      </c>
    </row>
    <row r="39">
      <c r="A39" s="50" t="n">
        <v>45585</v>
      </c>
      <c r="B39" s="71" t="n">
        <v>1</v>
      </c>
      <c r="C39" s="48" t="inlineStr">
        <is>
          <t>07573876670</t>
        </is>
      </c>
      <c r="D39" s="76" t="inlineStr">
        <is>
          <t>BRUNO JUNIO DA SILVA</t>
        </is>
      </c>
      <c r="E39" s="77" t="inlineStr">
        <is>
          <t>DIÁRIA</t>
        </is>
      </c>
      <c r="G39" s="78" t="n">
        <v>365</v>
      </c>
      <c r="H39" s="79" t="n">
        <v>6</v>
      </c>
      <c r="I39" s="78" t="n">
        <v>2190</v>
      </c>
      <c r="J39" s="80" t="inlineStr">
        <is>
          <t>18/10/2024</t>
        </is>
      </c>
      <c r="K39" s="52" t="inlineStr">
        <is>
          <t>MO</t>
        </is>
      </c>
      <c r="L39" t="inlineStr">
        <is>
          <t>PIX: 07573876670</t>
        </is>
      </c>
      <c r="N39">
        <f>IF(ISERROR(SEARCH("NF",E39,1)),"NÃO","SIM")</f>
        <v/>
      </c>
      <c r="O39">
        <f>IF($B39=5,"SIM","")</f>
        <v/>
      </c>
      <c r="P39" s="81">
        <f>A39&amp;B39&amp;C39&amp;E39&amp;G39&amp;EDATE(J39,0)</f>
        <v/>
      </c>
      <c r="Q39" s="71">
        <f>IF(A39=0,"",VLOOKUP($A39,RESUMO!$A$8:$B$83,2,FALSE))</f>
        <v/>
      </c>
    </row>
    <row r="40">
      <c r="A40" s="50" t="n">
        <v>45585</v>
      </c>
      <c r="B40" s="71" t="n">
        <v>1</v>
      </c>
      <c r="C40" s="48" t="inlineStr">
        <is>
          <t>14758063613</t>
        </is>
      </c>
      <c r="D40" s="76" t="inlineStr">
        <is>
          <t>IZAEL BISPO OLIVEIRA</t>
        </is>
      </c>
      <c r="E40" s="77" t="inlineStr">
        <is>
          <t>DIÁRIA</t>
        </is>
      </c>
      <c r="G40" s="78" t="n">
        <v>215</v>
      </c>
      <c r="H40" s="79" t="n">
        <v>5</v>
      </c>
      <c r="I40" s="78" t="n">
        <v>1075</v>
      </c>
      <c r="J40" s="80" t="inlineStr">
        <is>
          <t>18/10/2024</t>
        </is>
      </c>
      <c r="K40" s="52" t="inlineStr">
        <is>
          <t>MO</t>
        </is>
      </c>
      <c r="L40" t="inlineStr">
        <is>
          <t>PIX: 14758063613</t>
        </is>
      </c>
      <c r="N40">
        <f>IF(ISERROR(SEARCH("NF",E40,1)),"NÃO","SIM")</f>
        <v/>
      </c>
      <c r="O40">
        <f>IF($B40=5,"SIM","")</f>
        <v/>
      </c>
      <c r="P40" s="81">
        <f>A40&amp;B40&amp;C40&amp;E40&amp;G40&amp;EDATE(J40,0)</f>
        <v/>
      </c>
      <c r="Q40" s="71">
        <f>IF(A40=0,"",VLOOKUP($A40,RESUMO!$A$8:$B$83,2,FALSE))</f>
        <v/>
      </c>
    </row>
    <row r="41">
      <c r="A41" s="50" t="n">
        <v>45585</v>
      </c>
      <c r="B41" s="71" t="n">
        <v>1</v>
      </c>
      <c r="C41" s="48" t="inlineStr">
        <is>
          <t>07249031600</t>
        </is>
      </c>
      <c r="D41" s="76" t="inlineStr">
        <is>
          <t>EDER PEREIRA DA SILVA</t>
        </is>
      </c>
      <c r="E41" s="77" t="inlineStr">
        <is>
          <t>DIÁRIA</t>
        </is>
      </c>
      <c r="G41" s="78" t="n">
        <v>215</v>
      </c>
      <c r="H41" s="79" t="n">
        <v>5</v>
      </c>
      <c r="I41" s="78" t="n">
        <v>1075</v>
      </c>
      <c r="J41" s="80" t="inlineStr">
        <is>
          <t>18/10/2024</t>
        </is>
      </c>
      <c r="K41" s="52" t="inlineStr">
        <is>
          <t>MO</t>
        </is>
      </c>
      <c r="L41" t="inlineStr">
        <is>
          <t>PIX: 07249031600</t>
        </is>
      </c>
      <c r="N41">
        <f>IF(ISERROR(SEARCH("NF",E41,1)),"NÃO","SIM")</f>
        <v/>
      </c>
      <c r="O41">
        <f>IF($B41=5,"SIM","")</f>
        <v/>
      </c>
      <c r="P41" s="81">
        <f>A41&amp;B41&amp;C41&amp;E41&amp;G41&amp;EDATE(J41,0)</f>
        <v/>
      </c>
      <c r="Q41" s="71">
        <f>IF(A41=0,"",VLOOKUP($A41,RESUMO!$A$8:$B$83,2,FALSE))</f>
        <v/>
      </c>
    </row>
    <row r="42">
      <c r="A42" s="50" t="n">
        <v>45585</v>
      </c>
      <c r="B42" s="71" t="n">
        <v>1</v>
      </c>
      <c r="C42" s="48" t="inlineStr">
        <is>
          <t>00354432605</t>
        </is>
      </c>
      <c r="D42" s="76" t="inlineStr">
        <is>
          <t>ANTONIO DUTRA DE FREITAS</t>
        </is>
      </c>
      <c r="E42" s="77" t="inlineStr">
        <is>
          <t>DIÁRIA</t>
        </is>
      </c>
      <c r="G42" s="78" t="n">
        <v>215</v>
      </c>
      <c r="H42" s="79" t="n">
        <v>5</v>
      </c>
      <c r="I42" s="78" t="n">
        <v>1075</v>
      </c>
      <c r="J42" s="80" t="inlineStr">
        <is>
          <t>18/10/2024</t>
        </is>
      </c>
      <c r="K42" s="52" t="inlineStr">
        <is>
          <t>MO</t>
        </is>
      </c>
      <c r="L42" t="inlineStr">
        <is>
          <t>PIX: 31982618378</t>
        </is>
      </c>
      <c r="N42">
        <f>IF(ISERROR(SEARCH("NF",E42,1)),"NÃO","SIM")</f>
        <v/>
      </c>
      <c r="O42">
        <f>IF($B42=5,"SIM","")</f>
        <v/>
      </c>
      <c r="P42" s="81">
        <f>A42&amp;B42&amp;C42&amp;E42&amp;G42&amp;EDATE(J42,0)</f>
        <v/>
      </c>
      <c r="Q42" s="71">
        <f>IF(A42=0,"",VLOOKUP($A42,RESUMO!$A$8:$B$83,2,FALSE))</f>
        <v/>
      </c>
    </row>
    <row r="43">
      <c r="A43" s="50" t="n">
        <v>45585</v>
      </c>
      <c r="B43" s="71" t="n">
        <v>1</v>
      </c>
      <c r="C43" s="48" t="inlineStr">
        <is>
          <t>75746980315</t>
        </is>
      </c>
      <c r="D43" s="76" t="inlineStr">
        <is>
          <t>FRANCISCO REGO DA SILVA</t>
        </is>
      </c>
      <c r="E43" s="77" t="inlineStr">
        <is>
          <t>DIÁRIA</t>
        </is>
      </c>
      <c r="G43" s="78" t="n">
        <v>175</v>
      </c>
      <c r="H43" s="79" t="n">
        <v>6</v>
      </c>
      <c r="I43" s="78" t="n">
        <v>1050</v>
      </c>
      <c r="J43" s="80" t="inlineStr">
        <is>
          <t>18/10/2024</t>
        </is>
      </c>
      <c r="K43" s="52" t="inlineStr">
        <is>
          <t>MO</t>
        </is>
      </c>
      <c r="L43" t="inlineStr">
        <is>
          <t>PIX: 75746980315</t>
        </is>
      </c>
      <c r="N43">
        <f>IF(ISERROR(SEARCH("NF",E43,1)),"NÃO","SIM")</f>
        <v/>
      </c>
      <c r="O43">
        <f>IF($B43=5,"SIM","")</f>
        <v/>
      </c>
      <c r="P43" s="81">
        <f>A43&amp;B43&amp;C43&amp;E43&amp;G43&amp;EDATE(J43,0)</f>
        <v/>
      </c>
      <c r="Q43" s="71">
        <f>IF(A43=0,"",VLOOKUP($A43,RESUMO!$A$8:$B$83,2,FALSE))</f>
        <v/>
      </c>
    </row>
    <row r="44">
      <c r="A44" s="50" t="n">
        <v>45585</v>
      </c>
      <c r="B44" s="71" t="n">
        <v>1</v>
      </c>
      <c r="C44" s="48" t="inlineStr">
        <is>
          <t>87942119653</t>
        </is>
      </c>
      <c r="D44" s="76" t="inlineStr">
        <is>
          <t>DOMINGOS DA SILVA LIMA</t>
        </is>
      </c>
      <c r="E44" s="77" t="inlineStr">
        <is>
          <t>DIÁRIA</t>
        </is>
      </c>
      <c r="G44" s="78" t="n">
        <v>135</v>
      </c>
      <c r="H44" s="79" t="n">
        <v>5</v>
      </c>
      <c r="I44" s="78" t="n">
        <v>675</v>
      </c>
      <c r="J44" s="80" t="inlineStr">
        <is>
          <t>18/10/2024</t>
        </is>
      </c>
      <c r="K44" s="52" t="inlineStr">
        <is>
          <t>MO</t>
        </is>
      </c>
      <c r="L44" t="inlineStr">
        <is>
          <t>CEF  013  0892  00113057-1 - CPF: 87.942.119.6-53</t>
        </is>
      </c>
      <c r="N44">
        <f>IF(ISERROR(SEARCH("NF",E44,1)),"NÃO","SIM")</f>
        <v/>
      </c>
      <c r="O44">
        <f>IF($B44=5,"SIM","")</f>
        <v/>
      </c>
      <c r="P44" s="81">
        <f>A44&amp;B44&amp;C44&amp;E44&amp;G44&amp;EDATE(J44,0)</f>
        <v/>
      </c>
      <c r="Q44" s="71">
        <f>IF(A44=0,"",VLOOKUP($A44,RESUMO!$A$8:$B$83,2,FALSE))</f>
        <v/>
      </c>
    </row>
    <row r="45">
      <c r="A45" s="50" t="n">
        <v>45585</v>
      </c>
      <c r="B45" s="71" t="n">
        <v>1</v>
      </c>
      <c r="C45" s="48" t="inlineStr">
        <is>
          <t>85086894387</t>
        </is>
      </c>
      <c r="D45" s="76" t="inlineStr">
        <is>
          <t>ROBEVAL PORTACIO DOS SANTOS</t>
        </is>
      </c>
      <c r="E45" s="77" t="inlineStr">
        <is>
          <t>DIÁRIA</t>
        </is>
      </c>
      <c r="G45" s="78" t="n">
        <v>135</v>
      </c>
      <c r="H45" s="79" t="n">
        <v>5</v>
      </c>
      <c r="I45" s="78" t="n">
        <v>675</v>
      </c>
      <c r="J45" s="80" t="inlineStr">
        <is>
          <t>18/10/2024</t>
        </is>
      </c>
      <c r="K45" s="52" t="inlineStr">
        <is>
          <t>MO</t>
        </is>
      </c>
      <c r="L45" t="inlineStr">
        <is>
          <t>PIX: 31971706400</t>
        </is>
      </c>
      <c r="N45">
        <f>IF(ISERROR(SEARCH("NF",E45,1)),"NÃO","SIM")</f>
        <v/>
      </c>
      <c r="O45">
        <f>IF($B45=5,"SIM","")</f>
        <v/>
      </c>
      <c r="P45" s="81">
        <f>A45&amp;B45&amp;C45&amp;E45&amp;G45&amp;EDATE(J45,0)</f>
        <v/>
      </c>
      <c r="Q45" s="71">
        <f>IF(A45=0,"",VLOOKUP($A45,RESUMO!$A$8:$B$83,2,FALSE))</f>
        <v/>
      </c>
    </row>
    <row r="46">
      <c r="A46" s="50" t="n">
        <v>45585</v>
      </c>
      <c r="B46" s="71" t="n">
        <v>2</v>
      </c>
      <c r="C46" s="48" t="inlineStr">
        <is>
          <t>37052904870</t>
        </is>
      </c>
      <c r="D46" s="76" t="inlineStr">
        <is>
          <t>VR AREIA E BRITA</t>
        </is>
      </c>
      <c r="E46" s="77" t="inlineStr">
        <is>
          <t>AREIA E BRITA - PED. 4910 / 4916 / 4924</t>
        </is>
      </c>
      <c r="G46" s="78" t="n">
        <v>4650</v>
      </c>
      <c r="I46" s="78" t="n">
        <v>4650</v>
      </c>
      <c r="J46" s="80" t="inlineStr">
        <is>
          <t>18/10/2024</t>
        </is>
      </c>
      <c r="K46" s="52" t="inlineStr">
        <is>
          <t>MAT</t>
        </is>
      </c>
      <c r="L46" t="inlineStr">
        <is>
          <t>C6 BANK    0001  19363893 - CPF: 37.052.904.8-70</t>
        </is>
      </c>
      <c r="N46">
        <f>IF(ISERROR(SEARCH("NF",E46,1)),"NÃO","SIM")</f>
        <v/>
      </c>
      <c r="O46">
        <f>IF($B46=5,"SIM","")</f>
        <v/>
      </c>
      <c r="P46" s="81">
        <f>A46&amp;B46&amp;C46&amp;E46&amp;G46&amp;EDATE(J46,0)</f>
        <v/>
      </c>
      <c r="Q46" s="71">
        <f>IF(A46=0,"",VLOOKUP($A46,RESUMO!$A$8:$B$83,2,FALSE))</f>
        <v/>
      </c>
    </row>
    <row r="47">
      <c r="A47" s="50" t="n">
        <v>45585</v>
      </c>
      <c r="B47" s="71" t="n">
        <v>2</v>
      </c>
      <c r="C47" s="48" t="inlineStr">
        <is>
          <t>07429259600</t>
        </is>
      </c>
      <c r="D47" s="76" t="inlineStr">
        <is>
          <t>AMARO CESARIO DA SILVA</t>
        </is>
      </c>
      <c r="E47" s="77" t="inlineStr">
        <is>
          <t>FECHAMENTO DRY WAL COZINHA E SALA</t>
        </is>
      </c>
      <c r="G47" s="78" t="n">
        <v>2150</v>
      </c>
      <c r="I47" s="78" t="n">
        <v>2150</v>
      </c>
      <c r="J47" s="80" t="inlineStr">
        <is>
          <t>18/10/2024</t>
        </is>
      </c>
      <c r="K47" s="52" t="inlineStr">
        <is>
          <t>SERV</t>
        </is>
      </c>
      <c r="L47" t="inlineStr">
        <is>
          <t>PIX: 07429259600</t>
        </is>
      </c>
      <c r="N47">
        <f>IF(ISERROR(SEARCH("NF",E47,1)),"NÃO","SIM")</f>
        <v/>
      </c>
      <c r="O47">
        <f>IF($B47=5,"SIM","")</f>
        <v/>
      </c>
      <c r="P47" s="81">
        <f>A47&amp;B47&amp;C47&amp;E47&amp;G47&amp;EDATE(J47,0)</f>
        <v/>
      </c>
      <c r="Q47" s="71">
        <f>IF(A47=0,"",VLOOKUP($A47,RESUMO!$A$8:$B$83,2,FALSE))</f>
        <v/>
      </c>
    </row>
    <row r="48">
      <c r="A48" s="50" t="n">
        <v>45585</v>
      </c>
      <c r="B48" s="71" t="n">
        <v>3</v>
      </c>
      <c r="C48" s="48" t="inlineStr">
        <is>
          <t>07409393000130</t>
        </is>
      </c>
      <c r="D48" s="76" t="inlineStr">
        <is>
          <t>LOCFER</t>
        </is>
      </c>
      <c r="E48" s="77" t="inlineStr">
        <is>
          <t>SERRA MADEIRA E SERRA BANCADA - NF 26353</t>
        </is>
      </c>
      <c r="G48" s="78" t="n">
        <v>640</v>
      </c>
      <c r="I48" s="78" t="n">
        <v>640</v>
      </c>
      <c r="J48" s="80" t="inlineStr">
        <is>
          <t>04/11/2024</t>
        </is>
      </c>
      <c r="K48" s="52" t="inlineStr">
        <is>
          <t>LOC</t>
        </is>
      </c>
      <c r="N48">
        <f>IF(ISERROR(SEARCH("NF",E48,1)),"NÃO","SIM")</f>
        <v/>
      </c>
      <c r="O48">
        <f>IF($B48=5,"SIM","")</f>
        <v/>
      </c>
      <c r="P48" s="81">
        <f>A48&amp;B48&amp;C48&amp;E48&amp;G48&amp;EDATE(J48,0)</f>
        <v/>
      </c>
      <c r="Q48" s="71">
        <f>IF(A48=0,"",VLOOKUP($A48,RESUMO!$A$8:$B$83,2,FALSE))</f>
        <v/>
      </c>
    </row>
    <row r="49">
      <c r="A49" s="50" t="n">
        <v>45585</v>
      </c>
      <c r="B49" s="71" t="n">
        <v>3</v>
      </c>
      <c r="C49" s="48" t="inlineStr">
        <is>
          <t>07409393000130</t>
        </is>
      </c>
      <c r="D49" s="76" t="inlineStr">
        <is>
          <t>LOCFER</t>
        </is>
      </c>
      <c r="E49" s="77" t="inlineStr">
        <is>
          <t>SERRA E BROCAS - NF 2766</t>
        </is>
      </c>
      <c r="G49" s="78" t="n">
        <v>740.4</v>
      </c>
      <c r="I49" s="78" t="n">
        <v>740.4</v>
      </c>
      <c r="J49" s="80" t="inlineStr">
        <is>
          <t>05/11/2024</t>
        </is>
      </c>
      <c r="K49" s="52" t="inlineStr">
        <is>
          <t>LOC</t>
        </is>
      </c>
      <c r="N49">
        <f>IF(ISERROR(SEARCH("NF",E49,1)),"NÃO","SIM")</f>
        <v/>
      </c>
      <c r="O49">
        <f>IF($B49=5,"SIM","")</f>
        <v/>
      </c>
      <c r="P49" s="81">
        <f>A49&amp;B49&amp;C49&amp;E49&amp;G49&amp;EDATE(J49,0)</f>
        <v/>
      </c>
      <c r="Q49" s="71">
        <f>IF(A49=0,"",VLOOKUP($A49,RESUMO!$A$8:$B$83,2,FALSE))</f>
        <v/>
      </c>
    </row>
    <row r="50">
      <c r="A50" s="50" t="n">
        <v>45585</v>
      </c>
      <c r="B50" s="71" t="n">
        <v>3</v>
      </c>
      <c r="C50" s="48" t="inlineStr">
        <is>
          <t>21944558000103</t>
        </is>
      </c>
      <c r="D50" s="76" t="inlineStr">
        <is>
          <t>LOCAN ANDAIMES</t>
        </is>
      </c>
      <c r="E50" s="77" t="inlineStr">
        <is>
          <t>LOCAÇÃO DE ANDAIMES - ND 9872</t>
        </is>
      </c>
      <c r="G50" s="78" t="n">
        <v>528</v>
      </c>
      <c r="I50" s="78" t="n">
        <v>528</v>
      </c>
      <c r="J50" s="80" t="inlineStr">
        <is>
          <t>21/10/2024</t>
        </is>
      </c>
      <c r="K50" s="52" t="inlineStr">
        <is>
          <t>LOC</t>
        </is>
      </c>
      <c r="N50">
        <f>IF(ISERROR(SEARCH("NF",E50,1)),"NÃO","SIM")</f>
        <v/>
      </c>
      <c r="O50">
        <f>IF($B50=5,"SIM","")</f>
        <v/>
      </c>
      <c r="P50" s="81">
        <f>A50&amp;B50&amp;C50&amp;E50&amp;G50&amp;EDATE(J50,0)</f>
        <v/>
      </c>
      <c r="Q50" s="71">
        <f>IF(A50=0,"",VLOOKUP($A50,RESUMO!$A$8:$B$83,2,FALSE))</f>
        <v/>
      </c>
    </row>
    <row r="51">
      <c r="A51" s="50" t="n">
        <v>45585</v>
      </c>
      <c r="B51" s="71" t="n">
        <v>3</v>
      </c>
      <c r="C51" s="48" t="inlineStr">
        <is>
          <t>32392731000116</t>
        </is>
      </c>
      <c r="D51" s="76" t="inlineStr">
        <is>
          <t>DEPÓSITO 040</t>
        </is>
      </c>
      <c r="E51" s="77" t="inlineStr">
        <is>
          <t>SACO E LONA - NF 3041</t>
        </is>
      </c>
      <c r="G51" s="78" t="n">
        <v>1330</v>
      </c>
      <c r="I51" s="78" t="n">
        <v>1330</v>
      </c>
      <c r="J51" s="80" t="inlineStr">
        <is>
          <t>21/10/2024</t>
        </is>
      </c>
      <c r="K51" s="52" t="inlineStr">
        <is>
          <t>MAT</t>
        </is>
      </c>
      <c r="N51">
        <f>IF(ISERROR(SEARCH("NF",E51,1)),"NÃO","SIM")</f>
        <v/>
      </c>
      <c r="O51">
        <f>IF($B51=5,"SIM","")</f>
        <v/>
      </c>
      <c r="P51" s="81">
        <f>A51&amp;B51&amp;C51&amp;E51&amp;G51&amp;EDATE(J51,0)</f>
        <v/>
      </c>
      <c r="Q51" s="71">
        <f>IF(A51=0,"",VLOOKUP($A51,RESUMO!$A$8:$B$83,2,FALSE))</f>
        <v/>
      </c>
    </row>
    <row r="52">
      <c r="A52" s="50" t="n">
        <v>45585</v>
      </c>
      <c r="B52" s="71" t="n">
        <v>3</v>
      </c>
      <c r="C52" s="48" t="inlineStr">
        <is>
          <t>17581836000634</t>
        </is>
      </c>
      <c r="D52" s="76" t="inlineStr">
        <is>
          <t>LOJA DO PAULO</t>
        </is>
      </c>
      <c r="E52" s="77" t="inlineStr">
        <is>
          <t>CADEADO, CORRENTE - NF 31267</t>
        </is>
      </c>
      <c r="G52" s="78" t="n">
        <v>477.4</v>
      </c>
      <c r="I52" s="78" t="n">
        <v>477.4</v>
      </c>
      <c r="J52" s="80" t="inlineStr">
        <is>
          <t>22/10/2024</t>
        </is>
      </c>
      <c r="K52" s="52" t="inlineStr">
        <is>
          <t>MAT</t>
        </is>
      </c>
      <c r="N52">
        <f>IF(ISERROR(SEARCH("NF",E52,1)),"NÃO","SIM")</f>
        <v/>
      </c>
      <c r="O52">
        <f>IF($B52=5,"SIM","")</f>
        <v/>
      </c>
      <c r="P52" s="81">
        <f>A52&amp;B52&amp;C52&amp;E52&amp;G52&amp;EDATE(J52,0)</f>
        <v/>
      </c>
      <c r="Q52" s="71">
        <f>IF(A52=0,"",VLOOKUP($A52,RESUMO!$A$8:$B$83,2,FALSE))</f>
        <v/>
      </c>
    </row>
    <row r="53">
      <c r="A53" s="50" t="n">
        <v>45585</v>
      </c>
      <c r="B53" s="71" t="n">
        <v>3</v>
      </c>
      <c r="C53" s="48" t="inlineStr">
        <is>
          <t>42542081000100</t>
        </is>
      </c>
      <c r="D53" s="76" t="inlineStr">
        <is>
          <t>MADEX MADEIRAS E COMPENSADOS LTDA</t>
        </is>
      </c>
      <c r="E53" s="77" t="inlineStr">
        <is>
          <t>MADEIRAS - NF 5942 - PARC. 1/2</t>
        </is>
      </c>
      <c r="G53" s="78" t="n">
        <v>11481</v>
      </c>
      <c r="I53" s="78" t="n">
        <v>11481</v>
      </c>
      <c r="J53" s="80" t="inlineStr">
        <is>
          <t>22/10/2024</t>
        </is>
      </c>
      <c r="K53" s="52" t="inlineStr">
        <is>
          <t>MAT</t>
        </is>
      </c>
      <c r="N53">
        <f>IF(ISERROR(SEARCH("NF",E53,1)),"NÃO","SIM")</f>
        <v/>
      </c>
      <c r="O53">
        <f>IF($B53=5,"SIM","")</f>
        <v/>
      </c>
      <c r="P53" s="81">
        <f>A53&amp;B53&amp;C53&amp;E53&amp;G53&amp;EDATE(J53,0)</f>
        <v/>
      </c>
      <c r="Q53" s="71">
        <f>IF(A53=0,"",VLOOKUP($A53,RESUMO!$A$8:$B$83,2,FALSE))</f>
        <v/>
      </c>
    </row>
    <row r="54">
      <c r="A54" s="50" t="n">
        <v>45585</v>
      </c>
      <c r="B54" s="71" t="n">
        <v>3</v>
      </c>
      <c r="C54" s="48" t="inlineStr">
        <is>
          <t>07409393000130</t>
        </is>
      </c>
      <c r="D54" s="76" t="inlineStr">
        <is>
          <t>LOCFER</t>
        </is>
      </c>
      <c r="E54" s="77" t="inlineStr">
        <is>
          <t>ESMERILHADEIRA - NF 26199</t>
        </is>
      </c>
      <c r="G54" s="78" t="n">
        <v>100</v>
      </c>
      <c r="I54" s="78" t="n">
        <v>100</v>
      </c>
      <c r="J54" s="80" t="inlineStr">
        <is>
          <t>23/10/2024</t>
        </is>
      </c>
      <c r="K54" s="52" t="inlineStr">
        <is>
          <t>LOC</t>
        </is>
      </c>
      <c r="N54">
        <f>IF(ISERROR(SEARCH("NF",E54,1)),"NÃO","SIM")</f>
        <v/>
      </c>
      <c r="O54">
        <f>IF($B54=5,"SIM","")</f>
        <v/>
      </c>
      <c r="P54" s="81">
        <f>A54&amp;B54&amp;C54&amp;E54&amp;G54&amp;EDATE(J54,0)</f>
        <v/>
      </c>
      <c r="Q54" s="71">
        <f>IF(A54=0,"",VLOOKUP($A54,RESUMO!$A$8:$B$83,2,FALSE))</f>
        <v/>
      </c>
    </row>
    <row r="55">
      <c r="A55" s="50" t="n">
        <v>45585</v>
      </c>
      <c r="B55" s="71" t="n">
        <v>3</v>
      </c>
      <c r="C55" s="48" t="inlineStr">
        <is>
          <t>14072798002720</t>
        </is>
      </c>
      <c r="D55" s="76" t="inlineStr">
        <is>
          <t>NOSSA LOJA</t>
        </is>
      </c>
      <c r="E55" s="77" t="inlineStr">
        <is>
          <t>ROLO, TINTAS, TRINCHA - NF 5115</t>
        </is>
      </c>
      <c r="G55" s="78" t="n">
        <v>372</v>
      </c>
      <c r="I55" s="78" t="n">
        <v>372</v>
      </c>
      <c r="J55" s="80" t="inlineStr">
        <is>
          <t>31/10/2024</t>
        </is>
      </c>
      <c r="K55" s="52" t="inlineStr">
        <is>
          <t>MAT</t>
        </is>
      </c>
      <c r="N55">
        <f>IF(ISERROR(SEARCH("NF",E55,1)),"NÃO","SIM")</f>
        <v/>
      </c>
      <c r="O55">
        <f>IF($B55=5,"SIM","")</f>
        <v/>
      </c>
      <c r="P55" s="81">
        <f>A55&amp;B55&amp;C55&amp;E55&amp;G55&amp;EDATE(J55,0)</f>
        <v/>
      </c>
      <c r="Q55" s="71">
        <f>IF(A55=0,"",VLOOKUP($A55,RESUMO!$A$8:$B$83,2,FALSE))</f>
        <v/>
      </c>
    </row>
    <row r="56">
      <c r="A56" s="50" t="n">
        <v>45585</v>
      </c>
      <c r="B56" s="71" t="n">
        <v>3</v>
      </c>
      <c r="C56" s="48" t="inlineStr">
        <is>
          <t>38727707000177</t>
        </is>
      </c>
      <c r="D56" s="76" t="inlineStr">
        <is>
          <t>PASI SEGURO</t>
        </is>
      </c>
      <c r="E56" s="77" t="inlineStr">
        <is>
          <t>SEGURO COLABORADORES</t>
        </is>
      </c>
      <c r="G56" s="78" t="n">
        <v>155.33</v>
      </c>
      <c r="I56" s="78" t="n">
        <v>155.33</v>
      </c>
      <c r="J56" s="80" t="inlineStr">
        <is>
          <t>31/10/2024</t>
        </is>
      </c>
      <c r="K56" s="52" t="inlineStr">
        <is>
          <t>MO</t>
        </is>
      </c>
      <c r="N56">
        <f>IF(ISERROR(SEARCH("NF",E56,1)),"NÃO","SIM")</f>
        <v/>
      </c>
      <c r="O56">
        <f>IF($B56=5,"SIM","")</f>
        <v/>
      </c>
      <c r="P56" s="81">
        <f>A56&amp;B56&amp;C56&amp;E56&amp;G56&amp;EDATE(J56,0)</f>
        <v/>
      </c>
      <c r="Q56" s="71">
        <f>IF(A56=0,"",VLOOKUP($A56,RESUMO!$A$8:$B$83,2,FALSE))</f>
        <v/>
      </c>
    </row>
    <row r="57">
      <c r="A57" s="50" t="n">
        <v>45585</v>
      </c>
      <c r="B57" s="71" t="n">
        <v>5</v>
      </c>
      <c r="C57" s="48" t="inlineStr">
        <is>
          <t>17581836000634</t>
        </is>
      </c>
      <c r="D57" s="76" t="inlineStr">
        <is>
          <t>LOJA DO PAULO</t>
        </is>
      </c>
      <c r="E57" s="77" t="inlineStr">
        <is>
          <t>MATERIAIS DIVERSOS - NF 31532</t>
        </is>
      </c>
      <c r="G57" s="78" t="n">
        <v>4268.2</v>
      </c>
      <c r="I57" s="78" t="n">
        <v>4268.2</v>
      </c>
      <c r="J57" s="80" t="inlineStr">
        <is>
          <t>03/10/2024</t>
        </is>
      </c>
      <c r="K57" s="52" t="inlineStr">
        <is>
          <t>MAT</t>
        </is>
      </c>
      <c r="N57">
        <f>IF(ISERROR(SEARCH("NF",E57,1)),"NÃO","SIM")</f>
        <v/>
      </c>
      <c r="O57">
        <f>IF($B57=5,"SIM","")</f>
        <v/>
      </c>
      <c r="P57" s="81">
        <f>A57&amp;B57&amp;C57&amp;E57&amp;G57&amp;EDATE(J57,0)</f>
        <v/>
      </c>
      <c r="Q57" s="71">
        <f>IF(A57=0,"",VLOOKUP($A57,RESUMO!$A$8:$B$83,2,FALSE))</f>
        <v/>
      </c>
    </row>
    <row r="58">
      <c r="A58" s="50" t="n">
        <v>45585</v>
      </c>
      <c r="B58" s="71" t="n">
        <v>5</v>
      </c>
      <c r="C58" s="48" t="inlineStr">
        <is>
          <t>21543239000188</t>
        </is>
      </c>
      <c r="D58" s="76" t="inlineStr">
        <is>
          <t>GKM COMERCIAL</t>
        </is>
      </c>
      <c r="E58" s="77" t="inlineStr">
        <is>
          <t xml:space="preserve">MATERIAIS DIVERSOS </t>
        </is>
      </c>
      <c r="G58" s="78" t="n">
        <v>210</v>
      </c>
      <c r="I58" s="78" t="n">
        <v>210</v>
      </c>
      <c r="J58" s="80" t="inlineStr">
        <is>
          <t>03/10/2024</t>
        </is>
      </c>
      <c r="K58" s="52" t="inlineStr">
        <is>
          <t>MAT</t>
        </is>
      </c>
      <c r="N58">
        <f>IF(ISERROR(SEARCH("NF",E58,1)),"NÃO","SIM")</f>
        <v/>
      </c>
      <c r="O58">
        <f>IF($B58=5,"SIM","")</f>
        <v/>
      </c>
      <c r="P58" s="81">
        <f>A58&amp;B58&amp;C58&amp;E58&amp;G58&amp;EDATE(J58,0)</f>
        <v/>
      </c>
      <c r="Q58" s="71">
        <f>IF(A58=0,"",VLOOKUP($A58,RESUMO!$A$8:$B$83,2,FALSE))</f>
        <v/>
      </c>
    </row>
    <row r="59">
      <c r="A59" s="50" t="n">
        <v>45585</v>
      </c>
      <c r="B59" s="71" t="n">
        <v>5</v>
      </c>
      <c r="C59" s="48" t="inlineStr">
        <is>
          <t>07573876670</t>
        </is>
      </c>
      <c r="D59" s="76" t="inlineStr">
        <is>
          <t>BRUNO JUNIO DA SILVA</t>
        </is>
      </c>
      <c r="E59" s="77" t="inlineStr">
        <is>
          <t>TRANSPORTE</t>
        </is>
      </c>
      <c r="G59" s="78" t="n">
        <v>35.8</v>
      </c>
      <c r="H59" s="79" t="n">
        <v>18</v>
      </c>
      <c r="I59" s="78" t="n">
        <v>644.4</v>
      </c>
      <c r="J59" s="80" t="inlineStr">
        <is>
          <t>08/10/2024</t>
        </is>
      </c>
      <c r="K59" s="52" t="inlineStr">
        <is>
          <t>MO</t>
        </is>
      </c>
      <c r="N59">
        <f>IF(ISERROR(SEARCH("NF",E59,1)),"NÃO","SIM")</f>
        <v/>
      </c>
      <c r="O59">
        <f>IF($B59=5,"SIM","")</f>
        <v/>
      </c>
      <c r="P59" s="81">
        <f>A59&amp;B59&amp;C59&amp;E59&amp;G59&amp;EDATE(J59,0)</f>
        <v/>
      </c>
      <c r="Q59" s="71">
        <f>IF(A59=0,"",VLOOKUP($A59,RESUMO!$A$8:$B$83,2,FALSE))</f>
        <v/>
      </c>
    </row>
    <row r="60">
      <c r="A60" s="50" t="n">
        <v>45585</v>
      </c>
      <c r="B60" s="71" t="n">
        <v>5</v>
      </c>
      <c r="C60" s="48" t="inlineStr">
        <is>
          <t>00354432605</t>
        </is>
      </c>
      <c r="D60" s="76" t="inlineStr">
        <is>
          <t>ANTONIO DUTRA DE FREITAS</t>
        </is>
      </c>
      <c r="E60" s="77" t="inlineStr">
        <is>
          <t>TRANSPORTE</t>
        </is>
      </c>
      <c r="G60" s="78" t="n">
        <v>35.8</v>
      </c>
      <c r="H60" s="79" t="n">
        <v>18</v>
      </c>
      <c r="I60" s="78" t="n">
        <v>644.4</v>
      </c>
      <c r="J60" s="80" t="inlineStr">
        <is>
          <t>08/10/2024</t>
        </is>
      </c>
      <c r="K60" s="52" t="inlineStr">
        <is>
          <t>MO</t>
        </is>
      </c>
      <c r="N60">
        <f>IF(ISERROR(SEARCH("NF",E60,1)),"NÃO","SIM")</f>
        <v/>
      </c>
      <c r="O60">
        <f>IF($B60=5,"SIM","")</f>
        <v/>
      </c>
      <c r="P60" s="81">
        <f>A60&amp;B60&amp;C60&amp;E60&amp;G60&amp;EDATE(J60,0)</f>
        <v/>
      </c>
      <c r="Q60" s="71">
        <f>IF(A60=0,"",VLOOKUP($A60,RESUMO!$A$8:$B$83,2,FALSE))</f>
        <v/>
      </c>
    </row>
    <row r="61">
      <c r="A61" s="50" t="n">
        <v>45585</v>
      </c>
      <c r="B61" s="71" t="n">
        <v>5</v>
      </c>
      <c r="C61" s="48" t="inlineStr">
        <is>
          <t>07249031600</t>
        </is>
      </c>
      <c r="D61" s="76" t="inlineStr">
        <is>
          <t>EDER PEREIRA DA SILVA</t>
        </is>
      </c>
      <c r="E61" s="77" t="inlineStr">
        <is>
          <t>TRANSPORTE</t>
        </is>
      </c>
      <c r="G61" s="78" t="n">
        <v>35.8</v>
      </c>
      <c r="H61" s="79" t="n">
        <v>18</v>
      </c>
      <c r="I61" s="78" t="n">
        <v>644.4</v>
      </c>
      <c r="J61" s="80" t="inlineStr">
        <is>
          <t>08/10/2024</t>
        </is>
      </c>
      <c r="K61" s="52" t="inlineStr">
        <is>
          <t>MO</t>
        </is>
      </c>
      <c r="N61">
        <f>IF(ISERROR(SEARCH("NF",E61,1)),"NÃO","SIM")</f>
        <v/>
      </c>
      <c r="O61">
        <f>IF($B61=5,"SIM","")</f>
        <v/>
      </c>
      <c r="P61" s="81">
        <f>A61&amp;B61&amp;C61&amp;E61&amp;G61&amp;EDATE(J61,0)</f>
        <v/>
      </c>
      <c r="Q61" s="71">
        <f>IF(A61=0,"",VLOOKUP($A61,RESUMO!$A$8:$B$83,2,FALSE))</f>
        <v/>
      </c>
    </row>
    <row r="62">
      <c r="A62" s="50" t="n">
        <v>45585</v>
      </c>
      <c r="B62" s="71" t="n">
        <v>5</v>
      </c>
      <c r="C62" s="48" t="inlineStr">
        <is>
          <t>14758063613</t>
        </is>
      </c>
      <c r="D62" s="76" t="inlineStr">
        <is>
          <t>IZAEL BISPO OLIVEIRA</t>
        </is>
      </c>
      <c r="E62" s="77" t="inlineStr">
        <is>
          <t>TRANSPORTE</t>
        </is>
      </c>
      <c r="G62" s="78" t="n">
        <v>34.5</v>
      </c>
      <c r="H62" s="79" t="n">
        <v>18</v>
      </c>
      <c r="I62" s="78" t="n">
        <v>621</v>
      </c>
      <c r="J62" s="80" t="inlineStr">
        <is>
          <t>08/10/2024</t>
        </is>
      </c>
      <c r="K62" s="52" t="inlineStr">
        <is>
          <t>MO</t>
        </is>
      </c>
      <c r="N62">
        <f>IF(ISERROR(SEARCH("NF",E62,1)),"NÃO","SIM")</f>
        <v/>
      </c>
      <c r="O62">
        <f>IF($B62=5,"SIM","")</f>
        <v/>
      </c>
      <c r="P62" s="81">
        <f>A62&amp;B62&amp;C62&amp;E62&amp;G62&amp;EDATE(J62,0)</f>
        <v/>
      </c>
      <c r="Q62" s="71">
        <f>IF(A62=0,"",VLOOKUP($A62,RESUMO!$A$8:$B$83,2,FALSE))</f>
        <v/>
      </c>
    </row>
    <row r="63">
      <c r="A63" s="50" t="n">
        <v>45585</v>
      </c>
      <c r="B63" s="71" t="n">
        <v>5</v>
      </c>
      <c r="C63" s="48" t="inlineStr">
        <is>
          <t>85086894387</t>
        </is>
      </c>
      <c r="D63" s="76" t="inlineStr">
        <is>
          <t>ROBEVAL PORTACIO DOS SANTOS</t>
        </is>
      </c>
      <c r="E63" s="77" t="inlineStr">
        <is>
          <t>TRANSPORTE</t>
        </is>
      </c>
      <c r="G63" s="78" t="n">
        <v>35.8</v>
      </c>
      <c r="H63" s="79" t="n">
        <v>18</v>
      </c>
      <c r="I63" s="78" t="n">
        <v>644.4</v>
      </c>
      <c r="J63" s="80" t="inlineStr">
        <is>
          <t>08/10/2024</t>
        </is>
      </c>
      <c r="K63" s="52" t="inlineStr">
        <is>
          <t>MO</t>
        </is>
      </c>
      <c r="N63">
        <f>IF(ISERROR(SEARCH("NF",E63,1)),"NÃO","SIM")</f>
        <v/>
      </c>
      <c r="O63">
        <f>IF($B63=5,"SIM","")</f>
        <v/>
      </c>
      <c r="P63" s="81">
        <f>A63&amp;B63&amp;C63&amp;E63&amp;G63&amp;EDATE(J63,0)</f>
        <v/>
      </c>
      <c r="Q63" s="71">
        <f>IF(A63=0,"",VLOOKUP($A63,RESUMO!$A$8:$B$83,2,FALSE))</f>
        <v/>
      </c>
    </row>
    <row r="64">
      <c r="A64" s="50" t="n">
        <v>45585</v>
      </c>
      <c r="B64" s="71" t="n">
        <v>5</v>
      </c>
      <c r="C64" s="48" t="inlineStr">
        <is>
          <t>87942119653</t>
        </is>
      </c>
      <c r="D64" s="76" t="inlineStr">
        <is>
          <t>DOMINGOS DA SILVA LIMA</t>
        </is>
      </c>
      <c r="E64" s="77" t="inlineStr">
        <is>
          <t>TRANSPORTE</t>
        </is>
      </c>
      <c r="G64" s="78" t="n">
        <v>35.8</v>
      </c>
      <c r="H64" s="79" t="n">
        <v>18</v>
      </c>
      <c r="I64" s="78" t="n">
        <v>644.4</v>
      </c>
      <c r="J64" s="80" t="inlineStr">
        <is>
          <t>08/10/2024</t>
        </is>
      </c>
      <c r="K64" s="52" t="inlineStr">
        <is>
          <t>MO</t>
        </is>
      </c>
      <c r="N64">
        <f>IF(ISERROR(SEARCH("NF",E64,1)),"NÃO","SIM")</f>
        <v/>
      </c>
      <c r="O64">
        <f>IF($B64=5,"SIM","")</f>
        <v/>
      </c>
      <c r="P64" s="81">
        <f>A64&amp;B64&amp;C64&amp;E64&amp;G64&amp;EDATE(J64,0)</f>
        <v/>
      </c>
      <c r="Q64" s="71">
        <f>IF(A64=0,"",VLOOKUP($A64,RESUMO!$A$8:$B$83,2,FALSE))</f>
        <v/>
      </c>
    </row>
    <row r="65">
      <c r="A65" s="50" t="n">
        <v>45585</v>
      </c>
      <c r="B65" s="71" t="n">
        <v>5</v>
      </c>
      <c r="C65" s="48" t="inlineStr">
        <is>
          <t>75746980315</t>
        </is>
      </c>
      <c r="D65" s="76" t="inlineStr">
        <is>
          <t>FRANCISCO REGO DA SILVA</t>
        </is>
      </c>
      <c r="E65" s="77" t="inlineStr">
        <is>
          <t>TRANSPORTE</t>
        </is>
      </c>
      <c r="G65" s="78" t="n">
        <v>35.8</v>
      </c>
      <c r="H65" s="79" t="n">
        <v>18</v>
      </c>
      <c r="I65" s="78" t="n">
        <v>644.4</v>
      </c>
      <c r="J65" s="80" t="inlineStr">
        <is>
          <t>08/10/2024</t>
        </is>
      </c>
      <c r="K65" s="52" t="inlineStr">
        <is>
          <t>MO</t>
        </is>
      </c>
      <c r="N65">
        <f>IF(ISERROR(SEARCH("NF",E65,1)),"NÃO","SIM")</f>
        <v/>
      </c>
      <c r="O65">
        <f>IF($B65=5,"SIM","")</f>
        <v/>
      </c>
      <c r="P65" s="81">
        <f>A65&amp;B65&amp;C65&amp;E65&amp;G65&amp;EDATE(J65,0)</f>
        <v/>
      </c>
      <c r="Q65" s="71">
        <f>IF(A65=0,"",VLOOKUP($A65,RESUMO!$A$8:$B$83,2,FALSE))</f>
        <v/>
      </c>
    </row>
    <row r="66">
      <c r="A66" s="50" t="n">
        <v>45585</v>
      </c>
      <c r="B66" s="71" t="n">
        <v>5</v>
      </c>
      <c r="C66" s="48" t="inlineStr">
        <is>
          <t>07573876670</t>
        </is>
      </c>
      <c r="D66" s="76" t="inlineStr">
        <is>
          <t>BRUNO JUNIO DA SILVA</t>
        </is>
      </c>
      <c r="E66" s="77" t="inlineStr">
        <is>
          <t>CAFÉ</t>
        </is>
      </c>
      <c r="G66" s="78" t="n">
        <v>4</v>
      </c>
      <c r="H66" s="79" t="n">
        <v>18</v>
      </c>
      <c r="I66" s="78" t="n">
        <v>72</v>
      </c>
      <c r="J66" s="80" t="inlineStr">
        <is>
          <t>08/10/2024</t>
        </is>
      </c>
      <c r="K66" s="52" t="inlineStr">
        <is>
          <t>MO</t>
        </is>
      </c>
      <c r="N66">
        <f>IF(ISERROR(SEARCH("NF",E66,1)),"NÃO","SIM")</f>
        <v/>
      </c>
      <c r="O66">
        <f>IF($B66=5,"SIM","")</f>
        <v/>
      </c>
      <c r="P66" s="81">
        <f>A66&amp;B66&amp;C66&amp;E66&amp;G66&amp;EDATE(J66,0)</f>
        <v/>
      </c>
      <c r="Q66" s="71">
        <f>IF(A66=0,"",VLOOKUP($A66,RESUMO!$A$8:$B$83,2,FALSE))</f>
        <v/>
      </c>
    </row>
    <row r="67">
      <c r="A67" s="50" t="n">
        <v>45585</v>
      </c>
      <c r="B67" s="71" t="n">
        <v>5</v>
      </c>
      <c r="C67" s="48" t="inlineStr">
        <is>
          <t>00354432605</t>
        </is>
      </c>
      <c r="D67" s="76" t="inlineStr">
        <is>
          <t>ANTONIO DUTRA DE FREITAS</t>
        </is>
      </c>
      <c r="E67" s="77" t="inlineStr">
        <is>
          <t>CAFÉ</t>
        </is>
      </c>
      <c r="G67" s="78" t="n">
        <v>4</v>
      </c>
      <c r="H67" s="79" t="n">
        <v>18</v>
      </c>
      <c r="I67" s="78" t="n">
        <v>72</v>
      </c>
      <c r="J67" s="80" t="inlineStr">
        <is>
          <t>08/10/2024</t>
        </is>
      </c>
      <c r="K67" s="52" t="inlineStr">
        <is>
          <t>MO</t>
        </is>
      </c>
      <c r="N67">
        <f>IF(ISERROR(SEARCH("NF",E67,1)),"NÃO","SIM")</f>
        <v/>
      </c>
      <c r="O67">
        <f>IF($B67=5,"SIM","")</f>
        <v/>
      </c>
      <c r="P67" s="81">
        <f>A67&amp;B67&amp;C67&amp;E67&amp;G67&amp;EDATE(J67,0)</f>
        <v/>
      </c>
      <c r="Q67" s="71">
        <f>IF(A67=0,"",VLOOKUP($A67,RESUMO!$A$8:$B$83,2,FALSE))</f>
        <v/>
      </c>
    </row>
    <row r="68">
      <c r="A68" s="50" t="n">
        <v>45585</v>
      </c>
      <c r="B68" s="71" t="n">
        <v>5</v>
      </c>
      <c r="C68" s="48" t="inlineStr">
        <is>
          <t>07249031600</t>
        </is>
      </c>
      <c r="D68" s="76" t="inlineStr">
        <is>
          <t>EDER PEREIRA DA SILVA</t>
        </is>
      </c>
      <c r="E68" s="77" t="inlineStr">
        <is>
          <t>CAFÉ</t>
        </is>
      </c>
      <c r="G68" s="78" t="n">
        <v>4</v>
      </c>
      <c r="H68" s="79" t="n">
        <v>18</v>
      </c>
      <c r="I68" s="78" t="n">
        <v>72</v>
      </c>
      <c r="J68" s="80" t="inlineStr">
        <is>
          <t>08/10/2024</t>
        </is>
      </c>
      <c r="K68" s="52" t="inlineStr">
        <is>
          <t>MO</t>
        </is>
      </c>
      <c r="N68">
        <f>IF(ISERROR(SEARCH("NF",E68,1)),"NÃO","SIM")</f>
        <v/>
      </c>
      <c r="O68">
        <f>IF($B68=5,"SIM","")</f>
        <v/>
      </c>
      <c r="P68" s="81">
        <f>A68&amp;B68&amp;C68&amp;E68&amp;G68&amp;EDATE(J68,0)</f>
        <v/>
      </c>
      <c r="Q68" s="71">
        <f>IF(A68=0,"",VLOOKUP($A68,RESUMO!$A$8:$B$83,2,FALSE))</f>
        <v/>
      </c>
    </row>
    <row r="69">
      <c r="A69" s="50" t="n">
        <v>45585</v>
      </c>
      <c r="B69" s="71" t="n">
        <v>5</v>
      </c>
      <c r="C69" s="48" t="inlineStr">
        <is>
          <t>14758063613</t>
        </is>
      </c>
      <c r="D69" s="76" t="inlineStr">
        <is>
          <t>IZAEL BISPO OLIVEIRA</t>
        </is>
      </c>
      <c r="E69" s="77" t="inlineStr">
        <is>
          <t>CAFÉ</t>
        </is>
      </c>
      <c r="G69" s="78" t="n">
        <v>4</v>
      </c>
      <c r="H69" s="79" t="n">
        <v>18</v>
      </c>
      <c r="I69" s="78" t="n">
        <v>72</v>
      </c>
      <c r="J69" s="80" t="inlineStr">
        <is>
          <t>08/10/2024</t>
        </is>
      </c>
      <c r="K69" s="52" t="inlineStr">
        <is>
          <t>MO</t>
        </is>
      </c>
      <c r="N69">
        <f>IF(ISERROR(SEARCH("NF",E69,1)),"NÃO","SIM")</f>
        <v/>
      </c>
      <c r="O69">
        <f>IF($B69=5,"SIM","")</f>
        <v/>
      </c>
      <c r="P69" s="81">
        <f>A69&amp;B69&amp;C69&amp;E69&amp;G69&amp;EDATE(J69,0)</f>
        <v/>
      </c>
      <c r="Q69" s="71">
        <f>IF(A69=0,"",VLOOKUP($A69,RESUMO!$A$8:$B$83,2,FALSE))</f>
        <v/>
      </c>
    </row>
    <row r="70">
      <c r="A70" s="50" t="n">
        <v>45585</v>
      </c>
      <c r="B70" s="71" t="n">
        <v>5</v>
      </c>
      <c r="C70" s="48" t="inlineStr">
        <is>
          <t>85086894387</t>
        </is>
      </c>
      <c r="D70" s="76" t="inlineStr">
        <is>
          <t>ROBEVAL PORTACIO DOS SANTOS</t>
        </is>
      </c>
      <c r="E70" s="77" t="inlineStr">
        <is>
          <t>CAFÉ</t>
        </is>
      </c>
      <c r="G70" s="78" t="n">
        <v>4</v>
      </c>
      <c r="H70" s="79" t="n">
        <v>18</v>
      </c>
      <c r="I70" s="78" t="n">
        <v>72</v>
      </c>
      <c r="J70" s="80" t="inlineStr">
        <is>
          <t>08/10/2024</t>
        </is>
      </c>
      <c r="K70" s="52" t="inlineStr">
        <is>
          <t>MO</t>
        </is>
      </c>
      <c r="N70">
        <f>IF(ISERROR(SEARCH("NF",E70,1)),"NÃO","SIM")</f>
        <v/>
      </c>
      <c r="O70">
        <f>IF($B70=5,"SIM","")</f>
        <v/>
      </c>
      <c r="P70" s="81">
        <f>A70&amp;B70&amp;C70&amp;E70&amp;G70&amp;EDATE(J70,0)</f>
        <v/>
      </c>
      <c r="Q70" s="71">
        <f>IF(A70=0,"",VLOOKUP($A70,RESUMO!$A$8:$B$83,2,FALSE))</f>
        <v/>
      </c>
    </row>
    <row r="71">
      <c r="A71" s="50" t="n">
        <v>45585</v>
      </c>
      <c r="B71" s="71" t="n">
        <v>5</v>
      </c>
      <c r="C71" s="48" t="inlineStr">
        <is>
          <t>87942119653</t>
        </is>
      </c>
      <c r="D71" s="76" t="inlineStr">
        <is>
          <t>DOMINGOS DA SILVA LIMA</t>
        </is>
      </c>
      <c r="E71" s="77" t="inlineStr">
        <is>
          <t>CAFÉ</t>
        </is>
      </c>
      <c r="G71" s="78" t="n">
        <v>4</v>
      </c>
      <c r="H71" s="79" t="n">
        <v>18</v>
      </c>
      <c r="I71" s="78" t="n">
        <v>72</v>
      </c>
      <c r="J71" s="80" t="inlineStr">
        <is>
          <t>08/10/2024</t>
        </is>
      </c>
      <c r="K71" s="52" t="inlineStr">
        <is>
          <t>MO</t>
        </is>
      </c>
      <c r="N71">
        <f>IF(ISERROR(SEARCH("NF",E71,1)),"NÃO","SIM")</f>
        <v/>
      </c>
      <c r="O71">
        <f>IF($B71=5,"SIM","")</f>
        <v/>
      </c>
      <c r="P71" s="81">
        <f>A71&amp;B71&amp;C71&amp;E71&amp;G71&amp;EDATE(J71,0)</f>
        <v/>
      </c>
      <c r="Q71" s="71">
        <f>IF(A71=0,"",VLOOKUP($A71,RESUMO!$A$8:$B$83,2,FALSE))</f>
        <v/>
      </c>
    </row>
    <row r="72">
      <c r="A72" s="50" t="n">
        <v>45585</v>
      </c>
      <c r="B72" s="71" t="n">
        <v>5</v>
      </c>
      <c r="C72" s="48" t="inlineStr">
        <is>
          <t>75746980315</t>
        </is>
      </c>
      <c r="D72" s="76" t="inlineStr">
        <is>
          <t>FRANCISCO REGO DA SILVA</t>
        </is>
      </c>
      <c r="E72" s="77" t="inlineStr">
        <is>
          <t>CAFÉ</t>
        </is>
      </c>
      <c r="G72" s="78" t="n">
        <v>4</v>
      </c>
      <c r="H72" s="79" t="n">
        <v>18</v>
      </c>
      <c r="I72" s="78" t="n">
        <v>72</v>
      </c>
      <c r="J72" s="80" t="inlineStr">
        <is>
          <t>08/10/2024</t>
        </is>
      </c>
      <c r="K72" s="52" t="inlineStr">
        <is>
          <t>MO</t>
        </is>
      </c>
      <c r="N72">
        <f>IF(ISERROR(SEARCH("NF",E72,1)),"NÃO","SIM")</f>
        <v/>
      </c>
      <c r="O72">
        <f>IF($B72=5,"SIM","")</f>
        <v/>
      </c>
      <c r="P72" s="81">
        <f>A72&amp;B72&amp;C72&amp;E72&amp;G72&amp;EDATE(J72,0)</f>
        <v/>
      </c>
      <c r="Q72" s="71">
        <f>IF(A72=0,"",VLOOKUP($A72,RESUMO!$A$8:$B$83,2,FALSE))</f>
        <v/>
      </c>
    </row>
    <row r="73">
      <c r="A73" s="50" t="n">
        <v>45585</v>
      </c>
      <c r="B73" s="71" t="n">
        <v>5</v>
      </c>
      <c r="C73" s="48" t="inlineStr">
        <is>
          <t>21543239000188</t>
        </is>
      </c>
      <c r="D73" s="76" t="inlineStr">
        <is>
          <t>GKM COMERCIAL</t>
        </is>
      </c>
      <c r="E73" s="77" t="inlineStr">
        <is>
          <t>ARRUELA, PORCA, BARRA</t>
        </is>
      </c>
      <c r="G73" s="78" t="n">
        <v>157</v>
      </c>
      <c r="I73" s="78" t="n">
        <v>157</v>
      </c>
      <c r="J73" s="80" t="inlineStr">
        <is>
          <t>09/10/2024</t>
        </is>
      </c>
      <c r="K73" s="52" t="inlineStr">
        <is>
          <t>MAT</t>
        </is>
      </c>
      <c r="N73">
        <f>IF(ISERROR(SEARCH("NF",E73,1)),"NÃO","SIM")</f>
        <v/>
      </c>
      <c r="O73">
        <f>IF($B73=5,"SIM","")</f>
        <v/>
      </c>
      <c r="P73" s="81">
        <f>A73&amp;B73&amp;C73&amp;E73&amp;G73&amp;EDATE(J73,0)</f>
        <v/>
      </c>
      <c r="Q73" s="71">
        <f>IF(A73=0,"",VLOOKUP($A73,RESUMO!$A$8:$B$83,2,FALSE))</f>
        <v/>
      </c>
    </row>
    <row r="74">
      <c r="A74" s="50" t="n">
        <v>45585</v>
      </c>
      <c r="B74" s="71" t="n">
        <v>5</v>
      </c>
      <c r="C74" s="48" t="inlineStr">
        <is>
          <t>44611590000164</t>
        </is>
      </c>
      <c r="D74" s="76" t="inlineStr">
        <is>
          <t>C3 TECNOLOGIA</t>
        </is>
      </c>
      <c r="E74" s="77" t="inlineStr">
        <is>
          <t>RELOGIO E CHAPEIRA DE PONTO - NF 4204</t>
        </is>
      </c>
      <c r="G74" s="78" t="n">
        <v>694</v>
      </c>
      <c r="I74" s="78" t="n">
        <v>694</v>
      </c>
      <c r="J74" s="80" t="inlineStr">
        <is>
          <t>10/10/2024</t>
        </is>
      </c>
      <c r="K74" s="52" t="inlineStr">
        <is>
          <t>MAT</t>
        </is>
      </c>
      <c r="N74">
        <f>IF(ISERROR(SEARCH("NF",E74,1)),"NÃO","SIM")</f>
        <v/>
      </c>
      <c r="O74">
        <f>IF($B74=5,"SIM","")</f>
        <v/>
      </c>
      <c r="P74" s="81">
        <f>A74&amp;B74&amp;C74&amp;E74&amp;G74&amp;EDATE(J74,0)</f>
        <v/>
      </c>
      <c r="Q74" s="71">
        <f>IF(A74=0,"",VLOOKUP($A74,RESUMO!$A$8:$B$83,2,FALSE))</f>
        <v/>
      </c>
    </row>
    <row r="75">
      <c r="A75" s="50" t="n">
        <v>45585</v>
      </c>
      <c r="B75" s="71" t="n">
        <v>5</v>
      </c>
      <c r="C75" s="48" t="inlineStr">
        <is>
          <t>07861005000158</t>
        </is>
      </c>
      <c r="D75" s="76" t="inlineStr">
        <is>
          <t>MADECLARA COMERCIO DE MADEIRAS LTDA</t>
        </is>
      </c>
      <c r="E75" s="77" t="inlineStr">
        <is>
          <t>TABUA E ESCORA - AGUARDANDO NF</t>
        </is>
      </c>
      <c r="G75" s="78" t="n">
        <v>4300</v>
      </c>
      <c r="I75" s="78" t="n">
        <v>4300</v>
      </c>
      <c r="J75" s="80" t="inlineStr">
        <is>
          <t>14/10/2024</t>
        </is>
      </c>
      <c r="K75" s="52" t="inlineStr">
        <is>
          <t>MAT</t>
        </is>
      </c>
      <c r="N75">
        <f>IF(ISERROR(SEARCH("NF",E75,1)),"NÃO","SIM")</f>
        <v/>
      </c>
      <c r="O75">
        <f>IF($B75=5,"SIM","")</f>
        <v/>
      </c>
      <c r="P75" s="81">
        <f>A75&amp;B75&amp;C75&amp;E75&amp;G75&amp;EDATE(J75,0)</f>
        <v/>
      </c>
      <c r="Q75" s="71">
        <f>IF(A75=0,"",VLOOKUP($A75,RESUMO!$A$8:$B$83,2,FALSE))</f>
        <v/>
      </c>
    </row>
    <row r="76">
      <c r="A76" s="50" t="n">
        <v>45585</v>
      </c>
      <c r="B76" s="71" t="n">
        <v>5</v>
      </c>
      <c r="C76" s="48" t="inlineStr">
        <is>
          <t>21543239000188</t>
        </is>
      </c>
      <c r="D76" s="76" t="inlineStr">
        <is>
          <t>GKM COMERCIAL</t>
        </is>
      </c>
      <c r="E76" s="77" t="inlineStr">
        <is>
          <t>MATERIAIS DIVERSOS</t>
        </is>
      </c>
      <c r="G76" s="78" t="n">
        <v>553.6</v>
      </c>
      <c r="I76" s="78" t="n">
        <v>553.6</v>
      </c>
      <c r="J76" s="80" t="inlineStr">
        <is>
          <t>20/09/2024</t>
        </is>
      </c>
      <c r="K76" s="52" t="inlineStr">
        <is>
          <t>MAT</t>
        </is>
      </c>
      <c r="N76">
        <f>IF(ISERROR(SEARCH("NF",E76,1)),"NÃO","SIM")</f>
        <v/>
      </c>
      <c r="O76">
        <f>IF($B76=5,"SIM","")</f>
        <v/>
      </c>
      <c r="P76" s="81">
        <f>A76&amp;B76&amp;C76&amp;E76&amp;G76&amp;EDATE(J76,0)</f>
        <v/>
      </c>
      <c r="Q76" s="71">
        <f>IF(A76=0,"",VLOOKUP($A76,RESUMO!$A$8:$B$83,2,FALSE))</f>
        <v/>
      </c>
    </row>
    <row r="77">
      <c r="A77" s="50" t="n">
        <v>45585</v>
      </c>
      <c r="B77" s="71" t="n">
        <v>7</v>
      </c>
      <c r="C77" s="48" t="inlineStr">
        <is>
          <t>30104762000107</t>
        </is>
      </c>
      <c r="D77" s="76" t="inlineStr">
        <is>
          <t>VASCONCELOS &amp; RINALDI ENGENHARIA</t>
        </is>
      </c>
      <c r="E77" s="77" t="inlineStr">
        <is>
          <t>ADM 13% - NF A EMITIR</t>
        </is>
      </c>
      <c r="G77" s="78" t="n">
        <v>6773.8</v>
      </c>
      <c r="I77" s="78" t="n">
        <v>6773.8</v>
      </c>
      <c r="J77" s="80" t="inlineStr">
        <is>
          <t>18/10/2024</t>
        </is>
      </c>
      <c r="K77" s="52" t="inlineStr">
        <is>
          <t>ADM</t>
        </is>
      </c>
      <c r="L77" t="inlineStr">
        <is>
          <t>PIX: 30104762000107</t>
        </is>
      </c>
      <c r="N77">
        <f>IF(ISERROR(SEARCH("NF",E77,1)),"NÃO","SIM")</f>
        <v/>
      </c>
      <c r="O77">
        <f>IF($B77=5,"SIM","")</f>
        <v/>
      </c>
      <c r="P77" s="81">
        <f>A77&amp;B77&amp;C77&amp;E77&amp;G77&amp;EDATE(J77,0)</f>
        <v/>
      </c>
      <c r="Q77" s="71">
        <f>IF(A77=0,"",VLOOKUP($A77,RESUMO!$A$8:$B$83,2,FALSE))</f>
        <v/>
      </c>
    </row>
    <row r="78">
      <c r="A78" s="50" t="n">
        <v>45601</v>
      </c>
      <c r="B78" s="71" t="n">
        <v>1</v>
      </c>
      <c r="C78" s="48" t="inlineStr">
        <is>
          <t>07573876670</t>
        </is>
      </c>
      <c r="D78" s="76" t="inlineStr">
        <is>
          <t>BRUNO JUNIO DA SILVA</t>
        </is>
      </c>
      <c r="E78" s="77" t="inlineStr">
        <is>
          <t>SALÁRIO</t>
        </is>
      </c>
      <c r="G78" s="78" t="n">
        <v>2193.04</v>
      </c>
      <c r="I78" s="78" t="n">
        <v>2193.04</v>
      </c>
      <c r="J78" s="80" t="inlineStr">
        <is>
          <t>06/11/2024</t>
        </is>
      </c>
      <c r="K78" s="52" t="inlineStr">
        <is>
          <t>MO</t>
        </is>
      </c>
      <c r="L78" t="inlineStr">
        <is>
          <t>PIX: 07573876670</t>
        </is>
      </c>
      <c r="N78">
        <f>IF(ISERROR(SEARCH("NF",E78,1)),"NÃO","SIM")</f>
        <v/>
      </c>
      <c r="O78">
        <f>IF($B78=5,"SIM","")</f>
        <v/>
      </c>
      <c r="P78" s="81">
        <f>A78&amp;B78&amp;C78&amp;E78&amp;G78&amp;EDATE(J78,0)</f>
        <v/>
      </c>
      <c r="Q78" s="71">
        <f>IF(A78=0,"",VLOOKUP($A78,RESUMO!$A$8:$B$83,2,FALSE))</f>
        <v/>
      </c>
    </row>
    <row r="79">
      <c r="A79" s="50" t="n">
        <v>45601</v>
      </c>
      <c r="B79" s="71" t="n">
        <v>1</v>
      </c>
      <c r="C79" s="48" t="inlineStr">
        <is>
          <t>00354432605</t>
        </is>
      </c>
      <c r="D79" s="76" t="inlineStr">
        <is>
          <t>ANTONIO DUTRA DE FREITAS</t>
        </is>
      </c>
      <c r="E79" s="77" t="inlineStr">
        <is>
          <t>SALÁRIO</t>
        </is>
      </c>
      <c r="G79" s="78" t="n">
        <v>1148.08</v>
      </c>
      <c r="I79" s="78" t="n">
        <v>1148.08</v>
      </c>
      <c r="J79" s="80" t="inlineStr">
        <is>
          <t>06/11/2024</t>
        </is>
      </c>
      <c r="K79" s="52" t="inlineStr">
        <is>
          <t>MO</t>
        </is>
      </c>
      <c r="L79" t="inlineStr">
        <is>
          <t>PIX: 31982618378</t>
        </is>
      </c>
      <c r="N79">
        <f>IF(ISERROR(SEARCH("NF",E79,1)),"NÃO","SIM")</f>
        <v/>
      </c>
      <c r="O79">
        <f>IF($B79=5,"SIM","")</f>
        <v/>
      </c>
      <c r="P79" s="81">
        <f>A79&amp;B79&amp;C79&amp;E79&amp;G79&amp;EDATE(J79,0)</f>
        <v/>
      </c>
      <c r="Q79" s="71">
        <f>IF(A79=0,"",VLOOKUP($A79,RESUMO!$A$8:$B$83,2,FALSE))</f>
        <v/>
      </c>
    </row>
    <row r="80">
      <c r="A80" s="50" t="n">
        <v>45601</v>
      </c>
      <c r="B80" s="71" t="n">
        <v>1</v>
      </c>
      <c r="C80" s="48" t="inlineStr">
        <is>
          <t>07249031600</t>
        </is>
      </c>
      <c r="D80" s="76" t="inlineStr">
        <is>
          <t>EDER PEREIRA DA SILVA</t>
        </is>
      </c>
      <c r="E80" s="77" t="inlineStr">
        <is>
          <t>SALÁRIO</t>
        </is>
      </c>
      <c r="G80" s="78" t="n">
        <v>1148.08</v>
      </c>
      <c r="I80" s="78" t="n">
        <v>1148.08</v>
      </c>
      <c r="J80" s="80" t="inlineStr">
        <is>
          <t>06/11/2024</t>
        </is>
      </c>
      <c r="K80" s="52" t="inlineStr">
        <is>
          <t>MO</t>
        </is>
      </c>
      <c r="L80" t="inlineStr">
        <is>
          <t>PIX: 07249031600</t>
        </is>
      </c>
      <c r="N80">
        <f>IF(ISERROR(SEARCH("NF",E80,1)),"NÃO","SIM")</f>
        <v/>
      </c>
      <c r="O80">
        <f>IF($B80=5,"SIM","")</f>
        <v/>
      </c>
      <c r="P80" s="81">
        <f>A80&amp;B80&amp;C80&amp;E80&amp;G80&amp;EDATE(J80,0)</f>
        <v/>
      </c>
      <c r="Q80" s="71">
        <f>IF(A80=0,"",VLOOKUP($A80,RESUMO!$A$8:$B$83,2,FALSE))</f>
        <v/>
      </c>
    </row>
    <row r="81">
      <c r="A81" s="50" t="n">
        <v>45601</v>
      </c>
      <c r="B81" s="71" t="n">
        <v>1</v>
      </c>
      <c r="C81" s="48" t="inlineStr">
        <is>
          <t>14758063613</t>
        </is>
      </c>
      <c r="D81" s="76" t="inlineStr">
        <is>
          <t>IZAEL BISPO OLIVEIRA</t>
        </is>
      </c>
      <c r="E81" s="77" t="inlineStr">
        <is>
          <t>SALÁRIO</t>
        </is>
      </c>
      <c r="G81" s="78" t="n">
        <v>1148.08</v>
      </c>
      <c r="I81" s="78" t="n">
        <v>1148.08</v>
      </c>
      <c r="J81" s="80" t="inlineStr">
        <is>
          <t>06/11/2024</t>
        </is>
      </c>
      <c r="K81" s="52" t="inlineStr">
        <is>
          <t>MO</t>
        </is>
      </c>
      <c r="L81" t="inlineStr">
        <is>
          <t>PIX: 14758063613</t>
        </is>
      </c>
      <c r="N81">
        <f>IF(ISERROR(SEARCH("NF",E81,1)),"NÃO","SIM")</f>
        <v/>
      </c>
      <c r="O81">
        <f>IF($B81=5,"SIM","")</f>
        <v/>
      </c>
      <c r="P81" s="81">
        <f>A81&amp;B81&amp;C81&amp;E81&amp;G81&amp;EDATE(J81,0)</f>
        <v/>
      </c>
      <c r="Q81" s="71">
        <f>IF(A81=0,"",VLOOKUP($A81,RESUMO!$A$8:$B$83,2,FALSE))</f>
        <v/>
      </c>
    </row>
    <row r="82">
      <c r="A82" s="50" t="n">
        <v>45601</v>
      </c>
      <c r="B82" s="71" t="n">
        <v>1</v>
      </c>
      <c r="C82" s="48" t="inlineStr">
        <is>
          <t>85086894387</t>
        </is>
      </c>
      <c r="D82" s="76" t="inlineStr">
        <is>
          <t>ROBEVAL PORTACIO DOS SANTOS</t>
        </is>
      </c>
      <c r="E82" s="77" t="inlineStr">
        <is>
          <t>SALÁRIO</t>
        </is>
      </c>
      <c r="G82" s="78" t="n">
        <v>674.9400000000001</v>
      </c>
      <c r="I82" s="78" t="n">
        <v>674.9400000000001</v>
      </c>
      <c r="J82" s="80" t="inlineStr">
        <is>
          <t>06/11/2024</t>
        </is>
      </c>
      <c r="K82" s="52" t="inlineStr">
        <is>
          <t>MO</t>
        </is>
      </c>
      <c r="L82" t="inlineStr">
        <is>
          <t>PIX: 31971706400</t>
        </is>
      </c>
      <c r="N82">
        <f>IF(ISERROR(SEARCH("NF",E82,1)),"NÃO","SIM")</f>
        <v/>
      </c>
      <c r="O82">
        <f>IF($B82=5,"SIM","")</f>
        <v/>
      </c>
      <c r="P82" s="81">
        <f>A82&amp;B82&amp;C82&amp;E82&amp;G82&amp;EDATE(J82,0)</f>
        <v/>
      </c>
      <c r="Q82" s="71">
        <f>IF(A82=0,"",VLOOKUP($A82,RESUMO!$A$8:$B$83,2,FALSE))</f>
        <v/>
      </c>
    </row>
    <row r="83">
      <c r="A83" s="50" t="n">
        <v>45601</v>
      </c>
      <c r="B83" s="71" t="n">
        <v>1</v>
      </c>
      <c r="C83" s="48" t="inlineStr">
        <is>
          <t>87942119653</t>
        </is>
      </c>
      <c r="D83" s="76" t="inlineStr">
        <is>
          <t>DOMINGOS DA SILVA LIMA</t>
        </is>
      </c>
      <c r="E83" s="77" t="inlineStr">
        <is>
          <t>SALÁRIO</t>
        </is>
      </c>
      <c r="G83" s="78" t="n">
        <v>674.9400000000001</v>
      </c>
      <c r="I83" s="78" t="n">
        <v>674.9400000000001</v>
      </c>
      <c r="J83" s="80" t="inlineStr">
        <is>
          <t>06/11/2024</t>
        </is>
      </c>
      <c r="K83" s="52" t="inlineStr">
        <is>
          <t>MO</t>
        </is>
      </c>
      <c r="L83" t="inlineStr">
        <is>
          <t>CEF  013  0892  00113057-1 - CPF: 87.942.119.6-53</t>
        </is>
      </c>
      <c r="N83">
        <f>IF(ISERROR(SEARCH("NF",E83,1)),"NÃO","SIM")</f>
        <v/>
      </c>
      <c r="O83">
        <f>IF($B83=5,"SIM","")</f>
        <v/>
      </c>
      <c r="P83" s="81">
        <f>A83&amp;B83&amp;C83&amp;E83&amp;G83&amp;EDATE(J83,0)</f>
        <v/>
      </c>
      <c r="Q83" s="71">
        <f>IF(A83=0,"",VLOOKUP($A83,RESUMO!$A$8:$B$83,2,FALSE))</f>
        <v/>
      </c>
    </row>
    <row r="84">
      <c r="A84" s="50" t="n">
        <v>45601</v>
      </c>
      <c r="B84" s="71" t="n">
        <v>1</v>
      </c>
      <c r="C84" s="48" t="inlineStr">
        <is>
          <t>75746980315</t>
        </is>
      </c>
      <c r="D84" s="76" t="inlineStr">
        <is>
          <t>FRANCISCO REGO DA SILVA</t>
        </is>
      </c>
      <c r="E84" s="77" t="inlineStr">
        <is>
          <t>SALÁRIO</t>
        </is>
      </c>
      <c r="G84" s="78" t="n">
        <v>955.5</v>
      </c>
      <c r="I84" s="78" t="n">
        <v>955.5</v>
      </c>
      <c r="J84" s="80" t="inlineStr">
        <is>
          <t>06/11/2024</t>
        </is>
      </c>
      <c r="K84" s="52" t="inlineStr">
        <is>
          <t>MO</t>
        </is>
      </c>
      <c r="L84" t="inlineStr">
        <is>
          <t>PIX: 75746980315</t>
        </is>
      </c>
      <c r="N84">
        <f>IF(ISERROR(SEARCH("NF",E84,1)),"NÃO","SIM")</f>
        <v/>
      </c>
      <c r="O84">
        <f>IF($B84=5,"SIM","")</f>
        <v/>
      </c>
      <c r="P84" s="81">
        <f>A84&amp;B84&amp;C84&amp;E84&amp;G84&amp;EDATE(J84,0)</f>
        <v/>
      </c>
      <c r="Q84" s="71">
        <f>IF(A84=0,"",VLOOKUP($A84,RESUMO!$A$8:$B$83,2,FALSE))</f>
        <v/>
      </c>
    </row>
    <row r="85">
      <c r="A85" s="50" t="n">
        <v>45601</v>
      </c>
      <c r="B85" s="71" t="n">
        <v>1</v>
      </c>
      <c r="C85" s="48" t="inlineStr">
        <is>
          <t>07573876670</t>
        </is>
      </c>
      <c r="D85" s="76" t="inlineStr">
        <is>
          <t>BRUNO JUNIO DA SILVA</t>
        </is>
      </c>
      <c r="E85" s="77" t="inlineStr">
        <is>
          <t>TRANSPORTE</t>
        </is>
      </c>
      <c r="G85" s="78" t="n">
        <v>40.8</v>
      </c>
      <c r="H85" s="79" t="n">
        <v>19</v>
      </c>
      <c r="I85" s="78" t="n">
        <v>775.1999999999999</v>
      </c>
      <c r="J85" s="80" t="inlineStr">
        <is>
          <t>06/11/2024</t>
        </is>
      </c>
      <c r="K85" s="52" t="inlineStr">
        <is>
          <t>MO</t>
        </is>
      </c>
      <c r="L85" t="inlineStr">
        <is>
          <t>PIX: 07573876670</t>
        </is>
      </c>
      <c r="N85">
        <f>IF(ISERROR(SEARCH("NF",E85,1)),"NÃO","SIM")</f>
        <v/>
      </c>
      <c r="O85">
        <f>IF($B85=5,"SIM","")</f>
        <v/>
      </c>
      <c r="P85" s="81">
        <f>A85&amp;B85&amp;C85&amp;E85&amp;G85&amp;EDATE(J85,0)</f>
        <v/>
      </c>
      <c r="Q85" s="71">
        <f>IF(A85=0,"",VLOOKUP($A85,RESUMO!$A$8:$B$83,2,FALSE))</f>
        <v/>
      </c>
    </row>
    <row r="86">
      <c r="A86" s="50" t="n">
        <v>45601</v>
      </c>
      <c r="B86" s="71" t="n">
        <v>1</v>
      </c>
      <c r="C86" s="48" t="inlineStr">
        <is>
          <t>00354432605</t>
        </is>
      </c>
      <c r="D86" s="76" t="inlineStr">
        <is>
          <t>ANTONIO DUTRA DE FREITAS</t>
        </is>
      </c>
      <c r="E86" s="77" t="inlineStr">
        <is>
          <t>TRANSPORTE</t>
        </is>
      </c>
      <c r="G86" s="78" t="n">
        <v>40.8</v>
      </c>
      <c r="H86" s="79" t="n">
        <v>19</v>
      </c>
      <c r="I86" s="78" t="n">
        <v>775.1999999999999</v>
      </c>
      <c r="J86" s="80" t="inlineStr">
        <is>
          <t>06/11/2024</t>
        </is>
      </c>
      <c r="K86" s="52" t="inlineStr">
        <is>
          <t>MO</t>
        </is>
      </c>
      <c r="L86" t="inlineStr">
        <is>
          <t>PIX: 31982618378</t>
        </is>
      </c>
      <c r="N86">
        <f>IF(ISERROR(SEARCH("NF",E86,1)),"NÃO","SIM")</f>
        <v/>
      </c>
      <c r="O86">
        <f>IF($B86=5,"SIM","")</f>
        <v/>
      </c>
      <c r="P86" s="81">
        <f>A86&amp;B86&amp;C86&amp;E86&amp;G86&amp;EDATE(J86,0)</f>
        <v/>
      </c>
      <c r="Q86" s="71">
        <f>IF(A86=0,"",VLOOKUP($A86,RESUMO!$A$8:$B$83,2,FALSE))</f>
        <v/>
      </c>
    </row>
    <row r="87">
      <c r="A87" s="50" t="n">
        <v>45601</v>
      </c>
      <c r="B87" s="71" t="n">
        <v>1</v>
      </c>
      <c r="C87" s="48" t="inlineStr">
        <is>
          <t>07249031600</t>
        </is>
      </c>
      <c r="D87" s="76" t="inlineStr">
        <is>
          <t>EDER PEREIRA DA SILVA</t>
        </is>
      </c>
      <c r="E87" s="77" t="inlineStr">
        <is>
          <t>TRANSPORTE</t>
        </is>
      </c>
      <c r="G87" s="78" t="n">
        <v>40.8</v>
      </c>
      <c r="H87" s="79" t="n">
        <v>19</v>
      </c>
      <c r="I87" s="78" t="n">
        <v>775.1999999999999</v>
      </c>
      <c r="J87" s="80" t="inlineStr">
        <is>
          <t>06/11/2024</t>
        </is>
      </c>
      <c r="K87" s="52" t="inlineStr">
        <is>
          <t>MO</t>
        </is>
      </c>
      <c r="L87" t="inlineStr">
        <is>
          <t>PIX: 07249031600</t>
        </is>
      </c>
      <c r="N87">
        <f>IF(ISERROR(SEARCH("NF",E87,1)),"NÃO","SIM")</f>
        <v/>
      </c>
      <c r="O87">
        <f>IF($B87=5,"SIM","")</f>
        <v/>
      </c>
      <c r="P87" s="81">
        <f>A87&amp;B87&amp;C87&amp;E87&amp;G87&amp;EDATE(J87,0)</f>
        <v/>
      </c>
      <c r="Q87" s="71">
        <f>IF(A87=0,"",VLOOKUP($A87,RESUMO!$A$8:$B$83,2,FALSE))</f>
        <v/>
      </c>
    </row>
    <row r="88">
      <c r="A88" s="50" t="n">
        <v>45601</v>
      </c>
      <c r="B88" s="71" t="n">
        <v>1</v>
      </c>
      <c r="C88" s="48" t="inlineStr">
        <is>
          <t>14758063613</t>
        </is>
      </c>
      <c r="D88" s="76" t="inlineStr">
        <is>
          <t>IZAEL BISPO OLIVEIRA</t>
        </is>
      </c>
      <c r="E88" s="77" t="inlineStr">
        <is>
          <t>TRANSPORTE</t>
        </is>
      </c>
      <c r="G88" s="78" t="n">
        <v>42.3</v>
      </c>
      <c r="H88" s="79" t="n">
        <v>19</v>
      </c>
      <c r="I88" s="78" t="n">
        <v>803.6999999999999</v>
      </c>
      <c r="J88" s="80" t="inlineStr">
        <is>
          <t>06/11/2024</t>
        </is>
      </c>
      <c r="K88" s="52" t="inlineStr">
        <is>
          <t>MO</t>
        </is>
      </c>
      <c r="L88" t="inlineStr">
        <is>
          <t>PIX: 14758063613</t>
        </is>
      </c>
      <c r="N88">
        <f>IF(ISERROR(SEARCH("NF",E88,1)),"NÃO","SIM")</f>
        <v/>
      </c>
      <c r="O88">
        <f>IF($B88=5,"SIM","")</f>
        <v/>
      </c>
      <c r="P88" s="81">
        <f>A88&amp;B88&amp;C88&amp;E88&amp;G88&amp;EDATE(J88,0)</f>
        <v/>
      </c>
      <c r="Q88" s="71">
        <f>IF(A88=0,"",VLOOKUP($A88,RESUMO!$A$8:$B$83,2,FALSE))</f>
        <v/>
      </c>
    </row>
    <row r="89">
      <c r="A89" s="50" t="n">
        <v>45601</v>
      </c>
      <c r="B89" s="71" t="n">
        <v>1</v>
      </c>
      <c r="C89" s="48" t="inlineStr">
        <is>
          <t>85086894387</t>
        </is>
      </c>
      <c r="D89" s="76" t="inlineStr">
        <is>
          <t>ROBEVAL PORTACIO DOS SANTOS</t>
        </is>
      </c>
      <c r="E89" s="77" t="inlineStr">
        <is>
          <t>TRANSPORTE</t>
        </is>
      </c>
      <c r="G89" s="78" t="n">
        <v>40.8</v>
      </c>
      <c r="H89" s="79" t="n">
        <v>19</v>
      </c>
      <c r="I89" s="78" t="n">
        <v>775.1999999999999</v>
      </c>
      <c r="J89" s="80" t="inlineStr">
        <is>
          <t>06/11/2024</t>
        </is>
      </c>
      <c r="K89" s="52" t="inlineStr">
        <is>
          <t>MO</t>
        </is>
      </c>
      <c r="L89" t="inlineStr">
        <is>
          <t>PIX: 31971706400</t>
        </is>
      </c>
      <c r="N89">
        <f>IF(ISERROR(SEARCH("NF",E89,1)),"NÃO","SIM")</f>
        <v/>
      </c>
      <c r="O89">
        <f>IF($B89=5,"SIM","")</f>
        <v/>
      </c>
      <c r="P89" s="81">
        <f>A89&amp;B89&amp;C89&amp;E89&amp;G89&amp;EDATE(J89,0)</f>
        <v/>
      </c>
      <c r="Q89" s="71">
        <f>IF(A89=0,"",VLOOKUP($A89,RESUMO!$A$8:$B$83,2,FALSE))</f>
        <v/>
      </c>
    </row>
    <row r="90">
      <c r="A90" s="50" t="n">
        <v>45601</v>
      </c>
      <c r="B90" s="71" t="n">
        <v>1</v>
      </c>
      <c r="C90" s="48" t="inlineStr">
        <is>
          <t>87942119653</t>
        </is>
      </c>
      <c r="D90" s="76" t="inlineStr">
        <is>
          <t>DOMINGOS DA SILVA LIMA</t>
        </is>
      </c>
      <c r="E90" s="77" t="inlineStr">
        <is>
          <t>TRANSPORTE</t>
        </is>
      </c>
      <c r="G90" s="78" t="n">
        <v>40.8</v>
      </c>
      <c r="H90" s="79" t="n">
        <v>19</v>
      </c>
      <c r="I90" s="78" t="n">
        <v>775.1999999999999</v>
      </c>
      <c r="J90" s="80" t="inlineStr">
        <is>
          <t>06/11/2024</t>
        </is>
      </c>
      <c r="K90" s="52" t="inlineStr">
        <is>
          <t>MO</t>
        </is>
      </c>
      <c r="L90" t="inlineStr">
        <is>
          <t>CEF  013  0892  00113057-1 - CPF: 87.942.119.6-53</t>
        </is>
      </c>
      <c r="N90">
        <f>IF(ISERROR(SEARCH("NF",E90,1)),"NÃO","SIM")</f>
        <v/>
      </c>
      <c r="O90">
        <f>IF($B90=5,"SIM","")</f>
        <v/>
      </c>
      <c r="P90" s="81">
        <f>A90&amp;B90&amp;C90&amp;E90&amp;G90&amp;EDATE(J90,0)</f>
        <v/>
      </c>
      <c r="Q90" s="71">
        <f>IF(A90=0,"",VLOOKUP($A90,RESUMO!$A$8:$B$83,2,FALSE))</f>
        <v/>
      </c>
    </row>
    <row r="91">
      <c r="A91" s="50" t="n">
        <v>45601</v>
      </c>
      <c r="B91" s="71" t="n">
        <v>1</v>
      </c>
      <c r="C91" s="48" t="inlineStr">
        <is>
          <t>75746980315</t>
        </is>
      </c>
      <c r="D91" s="76" t="inlineStr">
        <is>
          <t>FRANCISCO REGO DA SILVA</t>
        </is>
      </c>
      <c r="E91" s="77" t="inlineStr">
        <is>
          <t>TRANSPORTE</t>
        </is>
      </c>
      <c r="G91" s="78" t="n">
        <v>40.8</v>
      </c>
      <c r="H91" s="79" t="n">
        <v>19</v>
      </c>
      <c r="I91" s="78" t="n">
        <v>775.1999999999999</v>
      </c>
      <c r="J91" s="80" t="inlineStr">
        <is>
          <t>06/11/2024</t>
        </is>
      </c>
      <c r="K91" s="52" t="inlineStr">
        <is>
          <t>MO</t>
        </is>
      </c>
      <c r="L91" t="inlineStr">
        <is>
          <t>PIX: 75746980315</t>
        </is>
      </c>
      <c r="N91">
        <f>IF(ISERROR(SEARCH("NF",E91,1)),"NÃO","SIM")</f>
        <v/>
      </c>
      <c r="O91">
        <f>IF($B91=5,"SIM","")</f>
        <v/>
      </c>
      <c r="P91" s="81">
        <f>A91&amp;B91&amp;C91&amp;E91&amp;G91&amp;EDATE(J91,0)</f>
        <v/>
      </c>
      <c r="Q91" s="71">
        <f>IF(A91=0,"",VLOOKUP($A91,RESUMO!$A$8:$B$83,2,FALSE))</f>
        <v/>
      </c>
    </row>
    <row r="92">
      <c r="A92" s="50" t="n">
        <v>45601</v>
      </c>
      <c r="B92" s="71" t="n">
        <v>1</v>
      </c>
      <c r="C92" s="48" t="inlineStr">
        <is>
          <t>07573876670</t>
        </is>
      </c>
      <c r="D92" s="76" t="inlineStr">
        <is>
          <t>BRUNO JUNIO DA SILVA</t>
        </is>
      </c>
      <c r="E92" s="77" t="inlineStr">
        <is>
          <t>CAFÉ</t>
        </is>
      </c>
      <c r="G92" s="78" t="n">
        <v>4</v>
      </c>
      <c r="H92" s="79" t="n">
        <v>19</v>
      </c>
      <c r="I92" s="78" t="n">
        <v>76</v>
      </c>
      <c r="J92" s="80" t="inlineStr">
        <is>
          <t>06/11/2024</t>
        </is>
      </c>
      <c r="K92" s="52" t="inlineStr">
        <is>
          <t>MO</t>
        </is>
      </c>
      <c r="L92" t="inlineStr">
        <is>
          <t>PIX: 07573876670</t>
        </is>
      </c>
      <c r="N92">
        <f>IF(ISERROR(SEARCH("NF",E92,1)),"NÃO","SIM")</f>
        <v/>
      </c>
      <c r="O92">
        <f>IF($B92=5,"SIM","")</f>
        <v/>
      </c>
      <c r="P92" s="81">
        <f>A92&amp;B92&amp;C92&amp;E92&amp;G92&amp;EDATE(J92,0)</f>
        <v/>
      </c>
      <c r="Q92" s="71">
        <f>IF(A92=0,"",VLOOKUP($A92,RESUMO!$A$8:$B$83,2,FALSE))</f>
        <v/>
      </c>
    </row>
    <row r="93">
      <c r="A93" s="50" t="n">
        <v>45601</v>
      </c>
      <c r="B93" s="71" t="n">
        <v>1</v>
      </c>
      <c r="C93" s="48" t="inlineStr">
        <is>
          <t>00354432605</t>
        </is>
      </c>
      <c r="D93" s="76" t="inlineStr">
        <is>
          <t>ANTONIO DUTRA DE FREITAS</t>
        </is>
      </c>
      <c r="E93" s="77" t="inlineStr">
        <is>
          <t>CAFÉ</t>
        </is>
      </c>
      <c r="G93" s="78" t="n">
        <v>4</v>
      </c>
      <c r="H93" s="79" t="n">
        <v>19</v>
      </c>
      <c r="I93" s="78" t="n">
        <v>76</v>
      </c>
      <c r="J93" s="80" t="inlineStr">
        <is>
          <t>06/11/2024</t>
        </is>
      </c>
      <c r="K93" s="52" t="inlineStr">
        <is>
          <t>MO</t>
        </is>
      </c>
      <c r="L93" t="inlineStr">
        <is>
          <t>PIX: 31982618378</t>
        </is>
      </c>
      <c r="N93">
        <f>IF(ISERROR(SEARCH("NF",E93,1)),"NÃO","SIM")</f>
        <v/>
      </c>
      <c r="O93">
        <f>IF($B93=5,"SIM","")</f>
        <v/>
      </c>
      <c r="P93" s="81">
        <f>A93&amp;B93&amp;C93&amp;E93&amp;G93&amp;EDATE(J93,0)</f>
        <v/>
      </c>
      <c r="Q93" s="71">
        <f>IF(A93=0,"",VLOOKUP($A93,RESUMO!$A$8:$B$83,2,FALSE))</f>
        <v/>
      </c>
    </row>
    <row r="94">
      <c r="A94" s="50" t="n">
        <v>45601</v>
      </c>
      <c r="B94" s="71" t="n">
        <v>1</v>
      </c>
      <c r="C94" s="48" t="inlineStr">
        <is>
          <t>07249031600</t>
        </is>
      </c>
      <c r="D94" s="76" t="inlineStr">
        <is>
          <t>EDER PEREIRA DA SILVA</t>
        </is>
      </c>
      <c r="E94" s="77" t="inlineStr">
        <is>
          <t>CAFÉ</t>
        </is>
      </c>
      <c r="G94" s="78" t="n">
        <v>4</v>
      </c>
      <c r="H94" s="79" t="n">
        <v>19</v>
      </c>
      <c r="I94" s="78" t="n">
        <v>76</v>
      </c>
      <c r="J94" s="80" t="inlineStr">
        <is>
          <t>06/11/2024</t>
        </is>
      </c>
      <c r="K94" s="52" t="inlineStr">
        <is>
          <t>MO</t>
        </is>
      </c>
      <c r="L94" t="inlineStr">
        <is>
          <t>PIX: 07249031600</t>
        </is>
      </c>
      <c r="N94">
        <f>IF(ISERROR(SEARCH("NF",E94,1)),"NÃO","SIM")</f>
        <v/>
      </c>
      <c r="O94">
        <f>IF($B94=5,"SIM","")</f>
        <v/>
      </c>
      <c r="P94" s="81">
        <f>A94&amp;B94&amp;C94&amp;E94&amp;G94&amp;EDATE(J94,0)</f>
        <v/>
      </c>
      <c r="Q94" s="71">
        <f>IF(A94=0,"",VLOOKUP($A94,RESUMO!$A$8:$B$83,2,FALSE))</f>
        <v/>
      </c>
    </row>
    <row r="95">
      <c r="A95" s="50" t="n">
        <v>45601</v>
      </c>
      <c r="B95" s="71" t="n">
        <v>1</v>
      </c>
      <c r="C95" s="48" t="inlineStr">
        <is>
          <t>14758063613</t>
        </is>
      </c>
      <c r="D95" s="76" t="inlineStr">
        <is>
          <t>IZAEL BISPO OLIVEIRA</t>
        </is>
      </c>
      <c r="E95" s="77" t="inlineStr">
        <is>
          <t>CAFÉ</t>
        </is>
      </c>
      <c r="G95" s="78" t="n">
        <v>4</v>
      </c>
      <c r="H95" s="79" t="n">
        <v>19</v>
      </c>
      <c r="I95" s="78" t="n">
        <v>76</v>
      </c>
      <c r="J95" s="80" t="inlineStr">
        <is>
          <t>06/11/2024</t>
        </is>
      </c>
      <c r="K95" s="52" t="inlineStr">
        <is>
          <t>MO</t>
        </is>
      </c>
      <c r="L95" t="inlineStr">
        <is>
          <t>PIX: 14758063613</t>
        </is>
      </c>
      <c r="N95">
        <f>IF(ISERROR(SEARCH("NF",E95,1)),"NÃO","SIM")</f>
        <v/>
      </c>
      <c r="O95">
        <f>IF($B95=5,"SIM","")</f>
        <v/>
      </c>
      <c r="P95" s="81">
        <f>A95&amp;B95&amp;C95&amp;E95&amp;G95&amp;EDATE(J95,0)</f>
        <v/>
      </c>
      <c r="Q95" s="71">
        <f>IF(A95=0,"",VLOOKUP($A95,RESUMO!$A$8:$B$83,2,FALSE))</f>
        <v/>
      </c>
    </row>
    <row r="96">
      <c r="A96" s="50" t="n">
        <v>45601</v>
      </c>
      <c r="B96" s="71" t="n">
        <v>1</v>
      </c>
      <c r="C96" s="48" t="inlineStr">
        <is>
          <t>85086894387</t>
        </is>
      </c>
      <c r="D96" s="76" t="inlineStr">
        <is>
          <t>ROBEVAL PORTACIO DOS SANTOS</t>
        </is>
      </c>
      <c r="E96" s="77" t="inlineStr">
        <is>
          <t>CAFÉ</t>
        </is>
      </c>
      <c r="G96" s="78" t="n">
        <v>4</v>
      </c>
      <c r="H96" s="79" t="n">
        <v>19</v>
      </c>
      <c r="I96" s="78" t="n">
        <v>76</v>
      </c>
      <c r="J96" s="80" t="inlineStr">
        <is>
          <t>06/11/2024</t>
        </is>
      </c>
      <c r="K96" s="52" t="inlineStr">
        <is>
          <t>MO</t>
        </is>
      </c>
      <c r="L96" t="inlineStr">
        <is>
          <t>PIX: 31971706400</t>
        </is>
      </c>
      <c r="N96">
        <f>IF(ISERROR(SEARCH("NF",E96,1)),"NÃO","SIM")</f>
        <v/>
      </c>
      <c r="O96">
        <f>IF($B96=5,"SIM","")</f>
        <v/>
      </c>
      <c r="P96" s="81">
        <f>A96&amp;B96&amp;C96&amp;E96&amp;G96&amp;EDATE(J96,0)</f>
        <v/>
      </c>
      <c r="Q96" s="71">
        <f>IF(A96=0,"",VLOOKUP($A96,RESUMO!$A$8:$B$83,2,FALSE))</f>
        <v/>
      </c>
    </row>
    <row r="97">
      <c r="A97" s="50" t="n">
        <v>45601</v>
      </c>
      <c r="B97" s="71" t="n">
        <v>1</v>
      </c>
      <c r="C97" s="48" t="inlineStr">
        <is>
          <t>87942119653</t>
        </is>
      </c>
      <c r="D97" s="76" t="inlineStr">
        <is>
          <t>DOMINGOS DA SILVA LIMA</t>
        </is>
      </c>
      <c r="E97" s="77" t="inlineStr">
        <is>
          <t>CAFÉ</t>
        </is>
      </c>
      <c r="G97" s="78" t="n">
        <v>4</v>
      </c>
      <c r="H97" s="79" t="n">
        <v>19</v>
      </c>
      <c r="I97" s="78" t="n">
        <v>76</v>
      </c>
      <c r="J97" s="80" t="inlineStr">
        <is>
          <t>06/11/2024</t>
        </is>
      </c>
      <c r="K97" s="52" t="inlineStr">
        <is>
          <t>MO</t>
        </is>
      </c>
      <c r="L97" t="inlineStr">
        <is>
          <t>CEF  013  0892  00113057-1 - CPF: 87.942.119.6-53</t>
        </is>
      </c>
      <c r="N97">
        <f>IF(ISERROR(SEARCH("NF",E97,1)),"NÃO","SIM")</f>
        <v/>
      </c>
      <c r="O97">
        <f>IF($B97=5,"SIM","")</f>
        <v/>
      </c>
      <c r="P97" s="81">
        <f>A97&amp;B97&amp;C97&amp;E97&amp;G97&amp;EDATE(J97,0)</f>
        <v/>
      </c>
      <c r="Q97" s="71">
        <f>IF(A97=0,"",VLOOKUP($A97,RESUMO!$A$8:$B$83,2,FALSE))</f>
        <v/>
      </c>
    </row>
    <row r="98">
      <c r="A98" s="50" t="n">
        <v>45601</v>
      </c>
      <c r="B98" s="71" t="n">
        <v>1</v>
      </c>
      <c r="C98" s="48" t="inlineStr">
        <is>
          <t>75746980315</t>
        </is>
      </c>
      <c r="D98" s="76" t="inlineStr">
        <is>
          <t>FRANCISCO REGO DA SILVA</t>
        </is>
      </c>
      <c r="E98" s="77" t="inlineStr">
        <is>
          <t>CAFÉ</t>
        </is>
      </c>
      <c r="G98" s="78" t="n">
        <v>4</v>
      </c>
      <c r="H98" s="79" t="n">
        <v>19</v>
      </c>
      <c r="I98" s="78" t="n">
        <v>76</v>
      </c>
      <c r="J98" s="80" t="inlineStr">
        <is>
          <t>06/11/2024</t>
        </is>
      </c>
      <c r="K98" s="52" t="inlineStr">
        <is>
          <t>MO</t>
        </is>
      </c>
      <c r="L98" t="inlineStr">
        <is>
          <t>PIX: 75746980315</t>
        </is>
      </c>
      <c r="N98">
        <f>IF(ISERROR(SEARCH("NF",E98,1)),"NÃO","SIM")</f>
        <v/>
      </c>
      <c r="O98">
        <f>IF($B98=5,"SIM","")</f>
        <v/>
      </c>
      <c r="P98" s="81">
        <f>A98&amp;B98&amp;C98&amp;E98&amp;G98&amp;EDATE(J98,0)</f>
        <v/>
      </c>
      <c r="Q98" s="71">
        <f>IF(A98=0,"",VLOOKUP($A98,RESUMO!$A$8:$B$83,2,FALSE))</f>
        <v/>
      </c>
    </row>
    <row r="99">
      <c r="A99" s="50" t="n">
        <v>45601</v>
      </c>
      <c r="B99" s="71" t="n">
        <v>1</v>
      </c>
      <c r="C99" s="48" t="inlineStr">
        <is>
          <t>36404993600</t>
        </is>
      </c>
      <c r="D99" s="76" t="inlineStr">
        <is>
          <t xml:space="preserve">NIVALDO DA SILVA </t>
        </is>
      </c>
      <c r="E99" s="77" t="inlineStr">
        <is>
          <t>DIÁRIA</t>
        </is>
      </c>
      <c r="G99" s="78" t="n">
        <v>270</v>
      </c>
      <c r="H99" s="79" t="n">
        <v>3</v>
      </c>
      <c r="I99" s="78" t="n">
        <v>810</v>
      </c>
      <c r="J99" s="80" t="inlineStr">
        <is>
          <t>07/11/2024</t>
        </is>
      </c>
      <c r="K99" s="52" t="inlineStr">
        <is>
          <t>MO</t>
        </is>
      </c>
      <c r="L99" t="inlineStr">
        <is>
          <t>PIX: 36404993600</t>
        </is>
      </c>
      <c r="N99">
        <f>IF(ISERROR(SEARCH("NF",E99,1)),"NÃO","SIM")</f>
        <v/>
      </c>
      <c r="O99">
        <f>IF($B99=5,"SIM","")</f>
        <v/>
      </c>
      <c r="P99" s="81">
        <f>A99&amp;B99&amp;C99&amp;E99&amp;G99&amp;EDATE(J99,0)</f>
        <v/>
      </c>
      <c r="Q99" s="71">
        <f>IF(A99=0,"",VLOOKUP($A99,RESUMO!$A$8:$B$83,2,FALSE))</f>
        <v/>
      </c>
    </row>
    <row r="100">
      <c r="A100" s="50" t="n">
        <v>45601</v>
      </c>
      <c r="B100" s="71" t="n">
        <v>2</v>
      </c>
      <c r="C100" s="48" t="inlineStr">
        <is>
          <t>00000011126</t>
        </is>
      </c>
      <c r="D100" s="76" t="inlineStr">
        <is>
          <t>MHS MENSALIDADE</t>
        </is>
      </c>
      <c r="E100" s="77" t="inlineStr">
        <is>
          <t>COMPETENCIA 10/2024</t>
        </is>
      </c>
      <c r="G100" s="78" t="n">
        <v>704</v>
      </c>
      <c r="I100" s="78" t="n">
        <v>704</v>
      </c>
      <c r="J100" s="80" t="inlineStr">
        <is>
          <t>06/11/2024</t>
        </is>
      </c>
      <c r="K100" s="52" t="inlineStr">
        <is>
          <t>MO</t>
        </is>
      </c>
      <c r="L100" t="inlineStr">
        <is>
          <t>PIX: 31995901635</t>
        </is>
      </c>
      <c r="N100">
        <f>IF(ISERROR(SEARCH("NF",E100,1)),"NÃO","SIM")</f>
        <v/>
      </c>
      <c r="O100">
        <f>IF($B100=5,"SIM","")</f>
        <v/>
      </c>
      <c r="P100" s="81">
        <f>A100&amp;B100&amp;C100&amp;E100&amp;G100&amp;EDATE(J100,0)</f>
        <v/>
      </c>
      <c r="Q100" s="71">
        <f>IF(A100=0,"",VLOOKUP($A100,RESUMO!$A$8:$B$83,2,FALSE))</f>
        <v/>
      </c>
    </row>
    <row r="101">
      <c r="A101" s="50" t="n">
        <v>45601</v>
      </c>
      <c r="B101" s="71" t="n">
        <v>2</v>
      </c>
      <c r="C101" s="48" t="inlineStr">
        <is>
          <t>00000011207</t>
        </is>
      </c>
      <c r="D101" s="76" t="inlineStr">
        <is>
          <t>MOTOBOY</t>
        </is>
      </c>
      <c r="E101" s="77" t="inlineStr">
        <is>
          <t>COMPETENCIA 10/2024</t>
        </is>
      </c>
      <c r="G101" s="78" t="n">
        <v>135</v>
      </c>
      <c r="I101" s="78" t="n">
        <v>135</v>
      </c>
      <c r="J101" s="80" t="inlineStr">
        <is>
          <t>06/11/2024</t>
        </is>
      </c>
      <c r="K101" s="52" t="inlineStr">
        <is>
          <t>DIV</t>
        </is>
      </c>
      <c r="L101" t="inlineStr">
        <is>
          <t>PIX: 31995901635</t>
        </is>
      </c>
      <c r="N101">
        <f>IF(ISERROR(SEARCH("NF",E101,1)),"NÃO","SIM")</f>
        <v/>
      </c>
      <c r="O101">
        <f>IF($B101=5,"SIM","")</f>
        <v/>
      </c>
      <c r="P101" s="81">
        <f>A101&amp;B101&amp;C101&amp;E101&amp;G101&amp;EDATE(J101,0)</f>
        <v/>
      </c>
      <c r="Q101" s="71">
        <f>IF(A101=0,"",VLOOKUP($A101,RESUMO!$A$8:$B$83,2,FALSE))</f>
        <v/>
      </c>
    </row>
    <row r="102">
      <c r="A102" s="50" t="n">
        <v>45601</v>
      </c>
      <c r="B102" s="71" t="n">
        <v>2</v>
      </c>
      <c r="C102" s="48" t="inlineStr">
        <is>
          <t>00000011398</t>
        </is>
      </c>
      <c r="D102" s="76" t="inlineStr">
        <is>
          <t>FOLHA DP</t>
        </is>
      </c>
      <c r="E102" s="77" t="inlineStr">
        <is>
          <t>COMPETENCIA 10/2024</t>
        </is>
      </c>
      <c r="G102" s="78" t="n">
        <v>847.2</v>
      </c>
      <c r="I102" s="78" t="n">
        <v>847.2</v>
      </c>
      <c r="J102" s="80" t="inlineStr">
        <is>
          <t>06/11/2024</t>
        </is>
      </c>
      <c r="K102" s="52" t="inlineStr">
        <is>
          <t>MO</t>
        </is>
      </c>
      <c r="L102" t="inlineStr">
        <is>
          <t>PIX: 31995901635</t>
        </is>
      </c>
      <c r="N102">
        <f>IF(ISERROR(SEARCH("NF",E102,1)),"NÃO","SIM")</f>
        <v/>
      </c>
      <c r="O102">
        <f>IF($B102=5,"SIM","")</f>
        <v/>
      </c>
      <c r="P102" s="81">
        <f>A102&amp;B102&amp;C102&amp;E102&amp;G102&amp;EDATE(J102,0)</f>
        <v/>
      </c>
      <c r="Q102" s="71">
        <f>IF(A102=0,"",VLOOKUP($A102,RESUMO!$A$8:$B$83,2,FALSE))</f>
        <v/>
      </c>
    </row>
    <row r="103">
      <c r="A103" s="50" t="n">
        <v>45601</v>
      </c>
      <c r="B103" s="71" t="n">
        <v>2</v>
      </c>
      <c r="C103" s="48" t="inlineStr">
        <is>
          <t>07834753000141</t>
        </is>
      </c>
      <c r="D103" s="76" t="inlineStr">
        <is>
          <t>ANCORA PAPELARIA</t>
        </is>
      </c>
      <c r="E103" s="77" t="inlineStr">
        <is>
          <t>PLOTAGENS - NF A EMITIR</t>
        </is>
      </c>
      <c r="G103" s="78" t="n">
        <v>226.5</v>
      </c>
      <c r="I103" s="78" t="n">
        <v>226.5</v>
      </c>
      <c r="J103" s="80" t="inlineStr">
        <is>
          <t>06/11/2024</t>
        </is>
      </c>
      <c r="K103" s="52" t="inlineStr">
        <is>
          <t>SERV</t>
        </is>
      </c>
      <c r="L103" t="inlineStr">
        <is>
          <t>PIX: ancorapapelaria@gmail.com</t>
        </is>
      </c>
      <c r="N103">
        <f>IF(ISERROR(SEARCH("NF",E103,1)),"NÃO","SIM")</f>
        <v/>
      </c>
      <c r="O103">
        <f>IF($B103=5,"SIM","")</f>
        <v/>
      </c>
      <c r="P103" s="81">
        <f>A103&amp;B103&amp;C103&amp;E103&amp;G103&amp;EDATE(J103,0)</f>
        <v/>
      </c>
      <c r="Q103" s="71">
        <f>IF(A103=0,"",VLOOKUP($A103,RESUMO!$A$8:$B$83,2,FALSE))</f>
        <v/>
      </c>
    </row>
    <row r="104">
      <c r="A104" s="50" t="n">
        <v>45601</v>
      </c>
      <c r="B104" s="71" t="n">
        <v>2</v>
      </c>
      <c r="C104" s="48" t="inlineStr">
        <is>
          <t>37052904870</t>
        </is>
      </c>
      <c r="D104" s="76" t="inlineStr">
        <is>
          <t>VR AREIA E BRITA</t>
        </is>
      </c>
      <c r="E104" s="77" t="inlineStr">
        <is>
          <t>BRITA 0 E AREIA - PED. 4931 / 4937</t>
        </is>
      </c>
      <c r="G104" s="78" t="n">
        <v>3200</v>
      </c>
      <c r="I104" s="78" t="n">
        <v>3200</v>
      </c>
      <c r="J104" s="80" t="inlineStr">
        <is>
          <t>07/11/2024</t>
        </is>
      </c>
      <c r="K104" s="52" t="inlineStr">
        <is>
          <t>MAT</t>
        </is>
      </c>
      <c r="L104" t="inlineStr">
        <is>
          <t>C6 BANK    0001  19363893 - CPF: 37.052.904.8-70</t>
        </is>
      </c>
      <c r="N104">
        <f>IF(ISERROR(SEARCH("NF",E104,1)),"NÃO","SIM")</f>
        <v/>
      </c>
      <c r="O104">
        <f>IF($B104=5,"SIM","")</f>
        <v/>
      </c>
      <c r="P104" s="81">
        <f>A104&amp;B104&amp;C104&amp;E104&amp;G104&amp;EDATE(J104,0)</f>
        <v/>
      </c>
      <c r="Q104" s="71">
        <f>IF(A104=0,"",VLOOKUP($A104,RESUMO!$A$8:$B$83,2,FALSE))</f>
        <v/>
      </c>
    </row>
    <row r="105">
      <c r="A105" s="50" t="n">
        <v>45601</v>
      </c>
      <c r="B105" s="71" t="n">
        <v>2</v>
      </c>
      <c r="C105" s="48" t="inlineStr">
        <is>
          <t>07834753000141</t>
        </is>
      </c>
      <c r="D105" s="76" t="inlineStr">
        <is>
          <t>ANCORA PAPELARIA</t>
        </is>
      </c>
      <c r="E105" s="77" t="inlineStr">
        <is>
          <t>PLOTAGENS - NF A EMITIR</t>
        </is>
      </c>
      <c r="G105" s="78" t="n">
        <v>226.5</v>
      </c>
      <c r="I105" s="78" t="n">
        <v>226.5</v>
      </c>
      <c r="J105" s="80" t="inlineStr">
        <is>
          <t>07/11/2024</t>
        </is>
      </c>
      <c r="K105" s="52" t="inlineStr">
        <is>
          <t>SERV</t>
        </is>
      </c>
      <c r="L105" t="inlineStr">
        <is>
          <t>PIX: ancorapapelaria@gmail.com</t>
        </is>
      </c>
      <c r="N105">
        <f>IF(ISERROR(SEARCH("NF",E105,1)),"NÃO","SIM")</f>
        <v/>
      </c>
      <c r="O105">
        <f>IF($B105=5,"SIM","")</f>
        <v/>
      </c>
      <c r="P105" s="81">
        <f>A105&amp;B105&amp;C105&amp;E105&amp;G105&amp;EDATE(J105,0)</f>
        <v/>
      </c>
      <c r="Q105" s="71">
        <f>IF(A105=0,"",VLOOKUP($A105,RESUMO!$A$8:$B$83,2,FALSE))</f>
        <v/>
      </c>
    </row>
    <row r="106">
      <c r="A106" s="50" t="n">
        <v>45601</v>
      </c>
      <c r="B106" s="71" t="n">
        <v>3</v>
      </c>
      <c r="C106" s="48" t="inlineStr">
        <is>
          <t>17250275000348</t>
        </is>
      </c>
      <c r="D106" s="76" t="inlineStr">
        <is>
          <t xml:space="preserve">CASA FERREIRA GONÇALVES </t>
        </is>
      </c>
      <c r="E106" s="77" t="inlineStr">
        <is>
          <t>MATERIAIS HIDRAULICOS - NF 487311</t>
        </is>
      </c>
      <c r="G106" s="78" t="n">
        <v>2466.83</v>
      </c>
      <c r="I106" s="78" t="n">
        <v>2466.83</v>
      </c>
      <c r="J106" s="80" t="inlineStr">
        <is>
          <t>08/11/2024</t>
        </is>
      </c>
      <c r="K106" s="52" t="inlineStr">
        <is>
          <t>MAT</t>
        </is>
      </c>
      <c r="N106">
        <f>IF(ISERROR(SEARCH("NF",E106,1)),"NÃO","SIM")</f>
        <v/>
      </c>
      <c r="O106">
        <f>IF($B106=5,"SIM","")</f>
        <v/>
      </c>
      <c r="P106" s="81">
        <f>A106&amp;B106&amp;C106&amp;E106&amp;G106&amp;EDATE(J106,0)</f>
        <v/>
      </c>
      <c r="Q106" s="71">
        <f>IF(A106=0,"",VLOOKUP($A106,RESUMO!$A$8:$B$83,2,FALSE))</f>
        <v/>
      </c>
    </row>
    <row r="107">
      <c r="A107" s="50" t="n">
        <v>45601</v>
      </c>
      <c r="B107" s="71" t="n">
        <v>3</v>
      </c>
      <c r="C107" s="48" t="inlineStr">
        <is>
          <t>24654133000220</t>
        </is>
      </c>
      <c r="D107" s="76" t="inlineStr">
        <is>
          <t xml:space="preserve">PLIMAX PERSONA </t>
        </is>
      </c>
      <c r="E107" s="77" t="inlineStr">
        <is>
          <t>CESTA BASICA - NF 260848</t>
        </is>
      </c>
      <c r="G107" s="78" t="n">
        <v>276.97</v>
      </c>
      <c r="I107" s="78" t="n">
        <v>276.97</v>
      </c>
      <c r="J107" s="80" t="inlineStr">
        <is>
          <t>08/11/2024</t>
        </is>
      </c>
      <c r="K107" s="52" t="inlineStr">
        <is>
          <t>MO</t>
        </is>
      </c>
      <c r="N107">
        <f>IF(ISERROR(SEARCH("NF",E107,1)),"NÃO","SIM")</f>
        <v/>
      </c>
      <c r="O107">
        <f>IF($B107=5,"SIM","")</f>
        <v/>
      </c>
      <c r="P107" s="81">
        <f>A107&amp;B107&amp;C107&amp;E107&amp;G107&amp;EDATE(J107,0)</f>
        <v/>
      </c>
      <c r="Q107" s="71">
        <f>IF(A107=0,"",VLOOKUP($A107,RESUMO!$A$8:$B$83,2,FALSE))</f>
        <v/>
      </c>
    </row>
    <row r="108">
      <c r="A108" s="50" t="n">
        <v>45601</v>
      </c>
      <c r="B108" s="71" t="n">
        <v>3</v>
      </c>
      <c r="C108" s="48" t="inlineStr">
        <is>
          <t>02697297000383</t>
        </is>
      </c>
      <c r="D108" s="76" t="inlineStr">
        <is>
          <t>UNIVERSO ELÉTRICO LTDA</t>
        </is>
      </c>
      <c r="E108" s="77" t="inlineStr">
        <is>
          <t>MATERIAIS ELÉTRICOS - NF 340541</t>
        </is>
      </c>
      <c r="G108" s="78" t="n">
        <v>3443.77</v>
      </c>
      <c r="I108" s="78" t="n">
        <v>3443.77</v>
      </c>
      <c r="J108" s="80" t="inlineStr">
        <is>
          <t>08/11/2024</t>
        </is>
      </c>
      <c r="K108" s="52" t="inlineStr">
        <is>
          <t>MAT</t>
        </is>
      </c>
      <c r="N108">
        <f>IF(ISERROR(SEARCH("NF",E108,1)),"NÃO","SIM")</f>
        <v/>
      </c>
      <c r="O108">
        <f>IF($B108=5,"SIM","")</f>
        <v/>
      </c>
      <c r="P108" s="81">
        <f>A108&amp;B108&amp;C108&amp;E108&amp;G108&amp;EDATE(J108,0)</f>
        <v/>
      </c>
      <c r="Q108" s="71">
        <f>IF(A108=0,"",VLOOKUP($A108,RESUMO!$A$8:$B$83,2,FALSE))</f>
        <v/>
      </c>
    </row>
    <row r="109">
      <c r="A109" s="50" t="n">
        <v>45601</v>
      </c>
      <c r="B109" s="71" t="n">
        <v>3</v>
      </c>
      <c r="C109" s="48" t="inlineStr">
        <is>
          <t>07409393000130</t>
        </is>
      </c>
      <c r="D109" s="76" t="inlineStr">
        <is>
          <t>LOCFER</t>
        </is>
      </c>
      <c r="E109" s="77" t="inlineStr">
        <is>
          <t>MARTELETE E BETONEIRA - NF 26414</t>
        </is>
      </c>
      <c r="G109" s="78" t="n">
        <v>555</v>
      </c>
      <c r="I109" s="78" t="n">
        <v>555</v>
      </c>
      <c r="J109" s="80" t="inlineStr">
        <is>
          <t>09/11/2024</t>
        </is>
      </c>
      <c r="K109" s="52" t="inlineStr">
        <is>
          <t>LOC</t>
        </is>
      </c>
      <c r="N109">
        <f>IF(ISERROR(SEARCH("NF",E109,1)),"NÃO","SIM")</f>
        <v/>
      </c>
      <c r="O109">
        <f>IF($B109=5,"SIM","")</f>
        <v/>
      </c>
      <c r="P109" s="81">
        <f>A109&amp;B109&amp;C109&amp;E109&amp;G109&amp;EDATE(J109,0)</f>
        <v/>
      </c>
      <c r="Q109" s="71">
        <f>IF(A109=0,"",VLOOKUP($A109,RESUMO!$A$8:$B$83,2,FALSE))</f>
        <v/>
      </c>
    </row>
    <row r="110">
      <c r="A110" s="50" t="n">
        <v>45601</v>
      </c>
      <c r="B110" s="71" t="n">
        <v>3</v>
      </c>
      <c r="C110" s="48" t="inlineStr">
        <is>
          <t>32392731000116</t>
        </is>
      </c>
      <c r="D110" s="76" t="inlineStr">
        <is>
          <t>DEPÓSITO 040</t>
        </is>
      </c>
      <c r="E110" s="77" t="inlineStr">
        <is>
          <t>MATERIAIS DIVERSOS - NF 3045</t>
        </is>
      </c>
      <c r="G110" s="78" t="n">
        <v>2584.5</v>
      </c>
      <c r="I110" s="78" t="n">
        <v>2584.5</v>
      </c>
      <c r="J110" s="80" t="inlineStr">
        <is>
          <t>12/11/2024</t>
        </is>
      </c>
      <c r="K110" s="52" t="inlineStr">
        <is>
          <t>MAT</t>
        </is>
      </c>
      <c r="N110">
        <f>IF(ISERROR(SEARCH("NF",E110,1)),"NÃO","SIM")</f>
        <v/>
      </c>
      <c r="O110">
        <f>IF($B110=5,"SIM","")</f>
        <v/>
      </c>
      <c r="P110" s="81">
        <f>A110&amp;B110&amp;C110&amp;E110&amp;G110&amp;EDATE(J110,0)</f>
        <v/>
      </c>
      <c r="Q110" s="71">
        <f>IF(A110=0,"",VLOOKUP($A110,RESUMO!$A$8:$B$83,2,FALSE))</f>
        <v/>
      </c>
    </row>
    <row r="111">
      <c r="A111" s="50" t="n">
        <v>45601</v>
      </c>
      <c r="B111" s="71" t="n">
        <v>3</v>
      </c>
      <c r="C111" s="48" t="inlineStr">
        <is>
          <t>14072798002720</t>
        </is>
      </c>
      <c r="D111" s="76" t="inlineStr">
        <is>
          <t>NOSSA LOJA</t>
        </is>
      </c>
      <c r="E111" s="77" t="inlineStr">
        <is>
          <t>TINTAS - NF 2039</t>
        </is>
      </c>
      <c r="G111" s="78" t="n">
        <v>310</v>
      </c>
      <c r="I111" s="78" t="n">
        <v>310</v>
      </c>
      <c r="J111" s="80" t="inlineStr">
        <is>
          <t>13/11/2024</t>
        </is>
      </c>
      <c r="K111" s="52" t="inlineStr">
        <is>
          <t>MAT</t>
        </is>
      </c>
      <c r="N111">
        <f>IF(ISERROR(SEARCH("NF",E111,1)),"NÃO","SIM")</f>
        <v/>
      </c>
      <c r="O111">
        <f>IF($B111=5,"SIM","")</f>
        <v/>
      </c>
      <c r="P111" s="81">
        <f>A111&amp;B111&amp;C111&amp;E111&amp;G111&amp;EDATE(J111,0)</f>
        <v/>
      </c>
      <c r="Q111" s="71">
        <f>IF(A111=0,"",VLOOKUP($A111,RESUMO!$A$8:$B$83,2,FALSE))</f>
        <v/>
      </c>
    </row>
    <row r="112">
      <c r="A112" s="50" t="n">
        <v>45601</v>
      </c>
      <c r="B112" s="71" t="n">
        <v>3</v>
      </c>
      <c r="C112" s="48" t="inlineStr">
        <is>
          <t>24200699000100</t>
        </is>
      </c>
      <c r="D112" s="76" t="inlineStr">
        <is>
          <t xml:space="preserve">ELITE EPIS </t>
        </is>
      </c>
      <c r="E112" s="77" t="inlineStr">
        <is>
          <t>EQUIPAMENTOS DE PROTEÇÃO - NF 109792</t>
        </is>
      </c>
      <c r="G112" s="78" t="n">
        <v>2861.2</v>
      </c>
      <c r="I112" s="78" t="n">
        <v>2861.2</v>
      </c>
      <c r="J112" s="80" t="inlineStr">
        <is>
          <t>14/11/2024</t>
        </is>
      </c>
      <c r="K112" s="52" t="inlineStr">
        <is>
          <t>MO</t>
        </is>
      </c>
      <c r="N112">
        <f>IF(ISERROR(SEARCH("NF",E112,1)),"NÃO","SIM")</f>
        <v/>
      </c>
      <c r="O112">
        <f>IF($B112=5,"SIM","")</f>
        <v/>
      </c>
      <c r="P112" s="81">
        <f>A112&amp;B112&amp;C112&amp;E112&amp;G112&amp;EDATE(J112,0)</f>
        <v/>
      </c>
      <c r="Q112" s="71">
        <f>IF(A112=0,"",VLOOKUP($A112,RESUMO!$A$8:$B$83,2,FALSE))</f>
        <v/>
      </c>
    </row>
    <row r="113">
      <c r="A113" s="50" t="n">
        <v>45601</v>
      </c>
      <c r="B113" s="71" t="n">
        <v>3</v>
      </c>
      <c r="C113" s="48" t="inlineStr">
        <is>
          <t>32392731000116</t>
        </is>
      </c>
      <c r="D113" s="76" t="inlineStr">
        <is>
          <t>DEPÓSITO 040</t>
        </is>
      </c>
      <c r="E113" s="77" t="inlineStr">
        <is>
          <t>CIMENTO E FRETE - NF 2901</t>
        </is>
      </c>
      <c r="G113" s="78" t="n">
        <v>700</v>
      </c>
      <c r="I113" s="78" t="n">
        <v>700</v>
      </c>
      <c r="J113" s="80" t="inlineStr">
        <is>
          <t>16/11/2024</t>
        </is>
      </c>
      <c r="K113" s="52" t="inlineStr">
        <is>
          <t>MAT</t>
        </is>
      </c>
      <c r="N113">
        <f>IF(ISERROR(SEARCH("NF",E113,1)),"NÃO","SIM")</f>
        <v/>
      </c>
      <c r="O113">
        <f>IF($B113=5,"SIM","")</f>
        <v/>
      </c>
      <c r="P113" s="81">
        <f>A113&amp;B113&amp;C113&amp;E113&amp;G113&amp;EDATE(J113,0)</f>
        <v/>
      </c>
      <c r="Q113" s="71">
        <f>IF(A113=0,"",VLOOKUP($A113,RESUMO!$A$8:$B$83,2,FALSE))</f>
        <v/>
      </c>
    </row>
    <row r="114">
      <c r="A114" s="50" t="n">
        <v>45601</v>
      </c>
      <c r="B114" s="71" t="n">
        <v>3</v>
      </c>
      <c r="C114" s="48" t="inlineStr">
        <is>
          <t>97397491000198</t>
        </is>
      </c>
      <c r="D114" s="76" t="inlineStr">
        <is>
          <t>COMERCIAL ISO LTDA</t>
        </is>
      </c>
      <c r="E114" s="77" t="inlineStr">
        <is>
          <t>PROTETOR E FITA CREPE - NF 61073</t>
        </is>
      </c>
      <c r="G114" s="78" t="n">
        <v>1244.5</v>
      </c>
      <c r="I114" s="78" t="n">
        <v>1244.5</v>
      </c>
      <c r="J114" s="80" t="inlineStr">
        <is>
          <t>18/11/2024</t>
        </is>
      </c>
      <c r="K114" s="52" t="inlineStr">
        <is>
          <t>MAT</t>
        </is>
      </c>
      <c r="N114">
        <f>IF(ISERROR(SEARCH("NF",E114,1)),"NÃO","SIM")</f>
        <v/>
      </c>
      <c r="O114">
        <f>IF($B114=5,"SIM","")</f>
        <v/>
      </c>
      <c r="P114" s="81">
        <f>A114&amp;B114&amp;C114&amp;E114&amp;G114&amp;EDATE(J114,0)</f>
        <v/>
      </c>
      <c r="Q114" s="71">
        <f>IF(A114=0,"",VLOOKUP($A114,RESUMO!$A$8:$B$83,2,FALSE))</f>
        <v/>
      </c>
    </row>
    <row r="115">
      <c r="A115" s="50" t="n">
        <v>45601</v>
      </c>
      <c r="B115" s="71" t="n">
        <v>3</v>
      </c>
      <c r="C115" s="48" t="inlineStr">
        <is>
          <t>42979237000378</t>
        </is>
      </c>
      <c r="D115" s="76" t="inlineStr">
        <is>
          <t>TECFER COM E IND DE FERRO E MAT CONSTR LTDA</t>
        </is>
      </c>
      <c r="E115" s="77" t="inlineStr">
        <is>
          <t>TELHA GALVALUME - NF 24191</t>
        </is>
      </c>
      <c r="G115" s="78" t="n">
        <v>2098.44</v>
      </c>
      <c r="I115" s="78" t="n">
        <v>2098.44</v>
      </c>
      <c r="J115" s="80" t="inlineStr">
        <is>
          <t>18/11/2024</t>
        </is>
      </c>
      <c r="K115" s="52" t="inlineStr">
        <is>
          <t>MAT</t>
        </is>
      </c>
      <c r="N115">
        <f>IF(ISERROR(SEARCH("NF",E115,1)),"NÃO","SIM")</f>
        <v/>
      </c>
      <c r="O115">
        <f>IF($B115=5,"SIM","")</f>
        <v/>
      </c>
      <c r="P115" s="81">
        <f>A115&amp;B115&amp;C115&amp;E115&amp;G115&amp;EDATE(J115,0)</f>
        <v/>
      </c>
      <c r="Q115" s="71">
        <f>IF(A115=0,"",VLOOKUP($A115,RESUMO!$A$8:$B$83,2,FALSE))</f>
        <v/>
      </c>
    </row>
    <row r="116">
      <c r="A116" s="50" t="n">
        <v>45601</v>
      </c>
      <c r="B116" s="71" t="n">
        <v>3</v>
      </c>
      <c r="C116" s="48" t="inlineStr">
        <is>
          <t>07409393000130</t>
        </is>
      </c>
      <c r="D116" s="76" t="inlineStr">
        <is>
          <t>LOCFER</t>
        </is>
      </c>
      <c r="E116" s="77" t="inlineStr">
        <is>
          <t>MARTELO - NF 26485</t>
        </is>
      </c>
      <c r="G116" s="78" t="n">
        <v>320</v>
      </c>
      <c r="I116" s="78" t="n">
        <v>320</v>
      </c>
      <c r="J116" s="80" t="inlineStr">
        <is>
          <t>18/11/2024</t>
        </is>
      </c>
      <c r="K116" s="52" t="inlineStr">
        <is>
          <t>LOC</t>
        </is>
      </c>
      <c r="N116">
        <f>IF(ISERROR(SEARCH("NF",E116,1)),"NÃO","SIM")</f>
        <v/>
      </c>
      <c r="O116">
        <f>IF($B116=5,"SIM","")</f>
        <v/>
      </c>
      <c r="P116" s="81">
        <f>A116&amp;B116&amp;C116&amp;E116&amp;G116&amp;EDATE(J116,0)</f>
        <v/>
      </c>
      <c r="Q116" s="71">
        <f>IF(A116=0,"",VLOOKUP($A116,RESUMO!$A$8:$B$83,2,FALSE))</f>
        <v/>
      </c>
    </row>
    <row r="117">
      <c r="A117" s="50" t="n">
        <v>45601</v>
      </c>
      <c r="B117" s="71" t="n">
        <v>3</v>
      </c>
      <c r="C117" s="48" t="inlineStr">
        <is>
          <t>42542081000100</t>
        </is>
      </c>
      <c r="D117" s="76" t="inlineStr">
        <is>
          <t>MADEX MADEIRAS E COMPENSADOS LTDA</t>
        </is>
      </c>
      <c r="E117" s="77" t="inlineStr">
        <is>
          <t>MADEIRAS - NF 5942 - PARC. 2/2</t>
        </is>
      </c>
      <c r="G117" s="78" t="n">
        <v>11481</v>
      </c>
      <c r="I117" s="78" t="n">
        <v>11481</v>
      </c>
      <c r="J117" s="80" t="inlineStr">
        <is>
          <t>19/11/2024</t>
        </is>
      </c>
      <c r="K117" s="52" t="inlineStr">
        <is>
          <t>MAT</t>
        </is>
      </c>
      <c r="N117">
        <f>IF(ISERROR(SEARCH("NF",E117,1)),"NÃO","SIM")</f>
        <v/>
      </c>
      <c r="O117">
        <f>IF($B117=5,"SIM","")</f>
        <v/>
      </c>
      <c r="P117" s="81">
        <f>A117&amp;B117&amp;C117&amp;E117&amp;G117&amp;EDATE(J117,0)</f>
        <v/>
      </c>
      <c r="Q117" s="71">
        <f>IF(A117=0,"",VLOOKUP($A117,RESUMO!$A$8:$B$83,2,FALSE))</f>
        <v/>
      </c>
    </row>
    <row r="118">
      <c r="A118" s="50" t="n">
        <v>45601</v>
      </c>
      <c r="B118" s="71" t="n">
        <v>4</v>
      </c>
      <c r="C118" s="48" t="inlineStr">
        <is>
          <t>27648990687</t>
        </is>
      </c>
      <c r="D118" s="76" t="inlineStr">
        <is>
          <t>ROGÉRIO VASCONCELOS SANTOS</t>
        </is>
      </c>
      <c r="E118" s="77" t="inlineStr">
        <is>
          <t>FRETE UNIFORMES</t>
        </is>
      </c>
      <c r="G118" s="78" t="n">
        <v>20</v>
      </c>
      <c r="I118" s="78" t="n">
        <v>20</v>
      </c>
      <c r="J118" s="80" t="inlineStr">
        <is>
          <t>06/11/2024</t>
        </is>
      </c>
      <c r="K118" s="52" t="inlineStr">
        <is>
          <t>MO</t>
        </is>
      </c>
      <c r="L118" t="inlineStr">
        <is>
          <t>PIX: 31995901635</t>
        </is>
      </c>
      <c r="N118">
        <f>IF(ISERROR(SEARCH("NF",E118,1)),"NÃO","SIM")</f>
        <v/>
      </c>
      <c r="O118">
        <f>IF($B118=5,"SIM","")</f>
        <v/>
      </c>
      <c r="P118" s="81">
        <f>A118&amp;B118&amp;C118&amp;E118&amp;G118&amp;EDATE(J118,0)</f>
        <v/>
      </c>
      <c r="Q118" s="71">
        <f>IF(A118=0,"",VLOOKUP($A118,RESUMO!$A$8:$B$83,2,FALSE))</f>
        <v/>
      </c>
    </row>
    <row r="119">
      <c r="A119" s="50" t="n">
        <v>45601</v>
      </c>
      <c r="B119" s="71" t="n">
        <v>4</v>
      </c>
      <c r="C119" s="48" t="inlineStr">
        <is>
          <t>27648990687</t>
        </is>
      </c>
      <c r="D119" s="76" t="inlineStr">
        <is>
          <t>ROGÉRIO VASCONCELOS SANTOS</t>
        </is>
      </c>
      <c r="E119" s="77" t="inlineStr">
        <is>
          <t>ITENS DE PAPELARIA PARA OBRA</t>
        </is>
      </c>
      <c r="G119" s="78" t="n">
        <v>240</v>
      </c>
      <c r="I119" s="78" t="n">
        <v>240</v>
      </c>
      <c r="J119" s="80" t="inlineStr">
        <is>
          <t>06/11/2024</t>
        </is>
      </c>
      <c r="K119" s="52" t="inlineStr">
        <is>
          <t>MO</t>
        </is>
      </c>
      <c r="L119" t="inlineStr">
        <is>
          <t>PIX: 31995901635</t>
        </is>
      </c>
      <c r="N119">
        <f>IF(ISERROR(SEARCH("NF",E119,1)),"NÃO","SIM")</f>
        <v/>
      </c>
      <c r="O119">
        <f>IF($B119=5,"SIM","")</f>
        <v/>
      </c>
      <c r="P119" s="81">
        <f>A119&amp;B119&amp;C119&amp;E119&amp;G119&amp;EDATE(J119,0)</f>
        <v/>
      </c>
      <c r="Q119" s="71">
        <f>IF(A119=0,"",VLOOKUP($A119,RESUMO!$A$8:$B$83,2,FALSE))</f>
        <v/>
      </c>
    </row>
    <row r="120">
      <c r="A120" s="50" t="n">
        <v>45601</v>
      </c>
      <c r="B120" s="71" t="n">
        <v>5</v>
      </c>
      <c r="C120" s="48" t="inlineStr">
        <is>
          <t>17581836000634</t>
        </is>
      </c>
      <c r="D120" s="76" t="inlineStr">
        <is>
          <t>LOJA DO PAULO</t>
        </is>
      </c>
      <c r="E120" s="77" t="inlineStr">
        <is>
          <t>MATERIAIS DIVERSOS - NF 31913</t>
        </is>
      </c>
      <c r="G120" s="78" t="n">
        <v>961.5</v>
      </c>
      <c r="I120" s="78" t="n">
        <v>961.5</v>
      </c>
      <c r="J120" s="80" t="inlineStr">
        <is>
          <t>18/10/2024</t>
        </is>
      </c>
      <c r="K120" s="52" t="inlineStr">
        <is>
          <t>MAT</t>
        </is>
      </c>
      <c r="N120">
        <f>IF(ISERROR(SEARCH("NF",E120,1)),"NÃO","SIM")</f>
        <v/>
      </c>
      <c r="O120">
        <f>IF($B120=5,"SIM","")</f>
        <v/>
      </c>
      <c r="P120" s="81">
        <f>A120&amp;B120&amp;C120&amp;E120&amp;G120&amp;EDATE(J120,0)</f>
        <v/>
      </c>
      <c r="Q120" s="71">
        <f>IF(A120=0,"",VLOOKUP($A120,RESUMO!$A$8:$B$83,2,FALSE))</f>
        <v/>
      </c>
    </row>
    <row r="121">
      <c r="A121" s="50" t="n">
        <v>45601</v>
      </c>
      <c r="B121" s="71" t="n">
        <v>5</v>
      </c>
      <c r="C121" s="48" t="inlineStr">
        <is>
          <t>16935869000168</t>
        </is>
      </c>
      <c r="D121" s="76" t="inlineStr">
        <is>
          <t>BH MATERIAIS DE CONSTRUCAO</t>
        </is>
      </c>
      <c r="E121" s="77" t="inlineStr">
        <is>
          <t>SPRAY E TEKBOND - nf 8373</t>
        </is>
      </c>
      <c r="G121" s="78" t="n">
        <v>89.8</v>
      </c>
      <c r="I121" s="78" t="n">
        <v>89.8</v>
      </c>
      <c r="J121" s="80" t="inlineStr">
        <is>
          <t>18/10/2024</t>
        </is>
      </c>
      <c r="K121" s="52" t="inlineStr">
        <is>
          <t>MAT</t>
        </is>
      </c>
      <c r="N121">
        <f>IF(ISERROR(SEARCH("NF",E121,1)),"NÃO","SIM")</f>
        <v/>
      </c>
      <c r="O121">
        <f>IF($B121=5,"SIM","")</f>
        <v/>
      </c>
      <c r="P121" s="81">
        <f>A121&amp;B121&amp;C121&amp;E121&amp;G121&amp;EDATE(J121,0)</f>
        <v/>
      </c>
      <c r="Q121" s="71">
        <f>IF(A121=0,"",VLOOKUP($A121,RESUMO!$A$8:$B$83,2,FALSE))</f>
        <v/>
      </c>
    </row>
    <row r="122">
      <c r="A122" s="50" t="n">
        <v>45601</v>
      </c>
      <c r="B122" s="71" t="n">
        <v>5</v>
      </c>
      <c r="C122" s="48" t="inlineStr">
        <is>
          <t>42841924000160</t>
        </is>
      </c>
      <c r="D122" s="76" t="inlineStr">
        <is>
          <t>FERRAGENS SANTA MONICA LTDA</t>
        </is>
      </c>
      <c r="E122" s="77" t="inlineStr">
        <is>
          <t>AÇO - AGUARDANDO NF</t>
        </is>
      </c>
      <c r="G122" s="78" t="n">
        <v>99340</v>
      </c>
      <c r="I122" s="78" t="n">
        <v>99340</v>
      </c>
      <c r="J122" s="80" t="inlineStr">
        <is>
          <t>24/10/2024</t>
        </is>
      </c>
      <c r="K122" s="52" t="inlineStr">
        <is>
          <t>MAT</t>
        </is>
      </c>
      <c r="N122">
        <f>IF(ISERROR(SEARCH("NF",E122,1)),"NÃO","SIM")</f>
        <v/>
      </c>
      <c r="O122">
        <f>IF($B122=5,"SIM","")</f>
        <v/>
      </c>
      <c r="P122" s="81">
        <f>A122&amp;B122&amp;C122&amp;E122&amp;G122&amp;EDATE(J122,0)</f>
        <v/>
      </c>
      <c r="Q122" s="71">
        <f>IF(A122=0,"",VLOOKUP($A122,RESUMO!$A$8:$B$83,2,FALSE))</f>
        <v/>
      </c>
    </row>
    <row r="123">
      <c r="A123" s="50" t="n">
        <v>45601</v>
      </c>
      <c r="B123" s="71" t="n">
        <v>5</v>
      </c>
      <c r="C123" s="48" t="inlineStr">
        <is>
          <t>06018430000206</t>
        </is>
      </c>
      <c r="D123" s="76" t="inlineStr">
        <is>
          <t>AÇOMIX</t>
        </is>
      </c>
      <c r="E123" s="77" t="inlineStr">
        <is>
          <t>FRETE AÇOMIX</t>
        </is>
      </c>
      <c r="G123" s="78" t="n">
        <v>117</v>
      </c>
      <c r="I123" s="78" t="n">
        <v>117</v>
      </c>
      <c r="J123" s="80" t="inlineStr">
        <is>
          <t>25/10/2024</t>
        </is>
      </c>
      <c r="K123" s="52" t="inlineStr">
        <is>
          <t>MAT</t>
        </is>
      </c>
      <c r="N123">
        <f>IF(ISERROR(SEARCH("NF",E123,1)),"NÃO","SIM")</f>
        <v/>
      </c>
      <c r="O123">
        <f>IF($B123=5,"SIM","")</f>
        <v/>
      </c>
      <c r="P123" s="81">
        <f>A123&amp;B123&amp;C123&amp;E123&amp;G123&amp;EDATE(J123,0)</f>
        <v/>
      </c>
      <c r="Q123" s="71">
        <f>IF(A123=0,"",VLOOKUP($A123,RESUMO!$A$8:$B$83,2,FALSE))</f>
        <v/>
      </c>
    </row>
    <row r="124">
      <c r="A124" s="50" t="n">
        <v>45601</v>
      </c>
      <c r="B124" s="71" t="n">
        <v>5</v>
      </c>
      <c r="C124" s="48" t="inlineStr">
        <is>
          <t>06018430000206</t>
        </is>
      </c>
      <c r="D124" s="76" t="inlineStr">
        <is>
          <t>AÇOMIX</t>
        </is>
      </c>
      <c r="E124" s="77" t="inlineStr">
        <is>
          <t>TELHAS - AGUARDANDO NF</t>
        </is>
      </c>
      <c r="G124" s="78" t="n">
        <v>1888</v>
      </c>
      <c r="I124" s="78" t="n">
        <v>1888</v>
      </c>
      <c r="J124" s="80" t="inlineStr">
        <is>
          <t>25/10/2024</t>
        </is>
      </c>
      <c r="K124" s="52" t="inlineStr">
        <is>
          <t>MAT</t>
        </is>
      </c>
      <c r="N124">
        <f>IF(ISERROR(SEARCH("NF",E124,1)),"NÃO","SIM")</f>
        <v/>
      </c>
      <c r="O124">
        <f>IF($B124=5,"SIM","")</f>
        <v/>
      </c>
      <c r="P124" s="81">
        <f>A124&amp;B124&amp;C124&amp;E124&amp;G124&amp;EDATE(J124,0)</f>
        <v/>
      </c>
      <c r="Q124" s="71">
        <f>IF(A124=0,"",VLOOKUP($A124,RESUMO!$A$8:$B$83,2,FALSE))</f>
        <v/>
      </c>
    </row>
    <row r="125">
      <c r="A125" s="50" t="n">
        <v>45601</v>
      </c>
      <c r="B125" s="71" t="n">
        <v>7</v>
      </c>
      <c r="C125" s="48" t="inlineStr">
        <is>
          <t>30104762000107</t>
        </is>
      </c>
      <c r="D125" s="76" t="inlineStr">
        <is>
          <t>VASCONCELOS &amp; RINALDI ENGENHARIA</t>
        </is>
      </c>
      <c r="E125" s="77" t="inlineStr">
        <is>
          <t>ADM 13% - NF A EMITIR</t>
        </is>
      </c>
      <c r="G125" s="78" t="n">
        <v>19640.05</v>
      </c>
      <c r="I125" s="78" t="n">
        <v>19640.05</v>
      </c>
      <c r="J125" s="80" t="inlineStr">
        <is>
          <t>06/11/2024</t>
        </is>
      </c>
      <c r="K125" s="52" t="inlineStr">
        <is>
          <t>ADM</t>
        </is>
      </c>
      <c r="L125" t="inlineStr">
        <is>
          <t>PIX: 30104762000107</t>
        </is>
      </c>
      <c r="N125">
        <f>IF(ISERROR(SEARCH("NF",E125,1)),"NÃO","SIM")</f>
        <v/>
      </c>
      <c r="O125">
        <f>IF($B125=5,"SIM","")</f>
        <v/>
      </c>
      <c r="P125" s="81">
        <f>A125&amp;B125&amp;C125&amp;E125&amp;G125&amp;EDATE(J125,0)</f>
        <v/>
      </c>
      <c r="Q125" s="71">
        <f>IF(A125=0,"",VLOOKUP($A125,RESUMO!$A$8:$B$83,2,FALSE))</f>
        <v/>
      </c>
    </row>
    <row r="126">
      <c r="A126" s="50" t="n">
        <v>45616</v>
      </c>
      <c r="B126" s="71" t="n">
        <v>1</v>
      </c>
      <c r="C126" s="48" t="inlineStr">
        <is>
          <t>07573876670</t>
        </is>
      </c>
      <c r="D126" s="76" t="inlineStr">
        <is>
          <t>BRUNO JUNIO DA SILVA</t>
        </is>
      </c>
      <c r="E126" s="77" t="inlineStr">
        <is>
          <t>SALÁRIO</t>
        </is>
      </c>
      <c r="G126" s="78" t="n">
        <v>2600</v>
      </c>
      <c r="I126" s="78" t="n">
        <v>2600</v>
      </c>
      <c r="J126" s="80" t="inlineStr">
        <is>
          <t>19/11/2024</t>
        </is>
      </c>
      <c r="K126" s="52" t="inlineStr">
        <is>
          <t>MO</t>
        </is>
      </c>
      <c r="L126" t="inlineStr">
        <is>
          <t>PIX: 07573876670</t>
        </is>
      </c>
      <c r="N126">
        <f>IF(ISERROR(SEARCH("NF",E126,1)),"NÃO","SIM")</f>
        <v/>
      </c>
      <c r="O126">
        <f>IF($B126=5,"SIM","")</f>
        <v/>
      </c>
      <c r="P126" s="81">
        <f>A126&amp;B126&amp;C126&amp;E126&amp;G126&amp;EDATE(J126,0)</f>
        <v/>
      </c>
      <c r="Q126" s="71">
        <f>IF(A126=0,"",VLOOKUP($A126,RESUMO!$A$8:$B$83,2,FALSE))</f>
        <v/>
      </c>
    </row>
    <row r="127">
      <c r="A127" s="50" t="n">
        <v>45616</v>
      </c>
      <c r="B127" s="71" t="n">
        <v>1</v>
      </c>
      <c r="C127" s="48" t="inlineStr">
        <is>
          <t>00354432605</t>
        </is>
      </c>
      <c r="D127" s="76" t="inlineStr">
        <is>
          <t>ANTONIO DUTRA DE FREITAS</t>
        </is>
      </c>
      <c r="E127" s="77" t="inlineStr">
        <is>
          <t>SALÁRIO</t>
        </is>
      </c>
      <c r="G127" s="78" t="n">
        <v>1104.8</v>
      </c>
      <c r="I127" s="78" t="n">
        <v>1104.8</v>
      </c>
      <c r="J127" s="80" t="inlineStr">
        <is>
          <t>19/11/2024</t>
        </is>
      </c>
      <c r="K127" s="52" t="inlineStr">
        <is>
          <t>MO</t>
        </is>
      </c>
      <c r="L127" t="inlineStr">
        <is>
          <t>PIX: 31982618378</t>
        </is>
      </c>
      <c r="N127">
        <f>IF(ISERROR(SEARCH("NF",E127,1)),"NÃO","SIM")</f>
        <v/>
      </c>
      <c r="O127">
        <f>IF($B127=5,"SIM","")</f>
        <v/>
      </c>
      <c r="P127" s="81">
        <f>A127&amp;B127&amp;C127&amp;E127&amp;G127&amp;EDATE(J127,0)</f>
        <v/>
      </c>
      <c r="Q127" s="71">
        <f>IF(A127=0,"",VLOOKUP($A127,RESUMO!$A$8:$B$83,2,FALSE))</f>
        <v/>
      </c>
    </row>
    <row r="128">
      <c r="A128" s="50" t="n">
        <v>45616</v>
      </c>
      <c r="B128" s="71" t="n">
        <v>1</v>
      </c>
      <c r="C128" s="48" t="inlineStr">
        <is>
          <t>07249031600</t>
        </is>
      </c>
      <c r="D128" s="76" t="inlineStr">
        <is>
          <t>EDER PEREIRA DA SILVA</t>
        </is>
      </c>
      <c r="E128" s="77" t="inlineStr">
        <is>
          <t>SALÁRIO</t>
        </is>
      </c>
      <c r="G128" s="78" t="n">
        <v>1104.8</v>
      </c>
      <c r="I128" s="78" t="n">
        <v>1104.8</v>
      </c>
      <c r="J128" s="80" t="inlineStr">
        <is>
          <t>19/11/2024</t>
        </is>
      </c>
      <c r="K128" s="52" t="inlineStr">
        <is>
          <t>MO</t>
        </is>
      </c>
      <c r="L128" t="inlineStr">
        <is>
          <t>PIX: 07249031600</t>
        </is>
      </c>
      <c r="N128">
        <f>IF(ISERROR(SEARCH("NF",E128,1)),"NÃO","SIM")</f>
        <v/>
      </c>
      <c r="O128">
        <f>IF($B128=5,"SIM","")</f>
        <v/>
      </c>
      <c r="P128" s="81">
        <f>A128&amp;B128&amp;C128&amp;E128&amp;G128&amp;EDATE(J128,0)</f>
        <v/>
      </c>
      <c r="Q128" s="71">
        <f>IF(A128=0,"",VLOOKUP($A128,RESUMO!$A$8:$B$83,2,FALSE))</f>
        <v/>
      </c>
    </row>
    <row r="129">
      <c r="A129" s="50" t="n">
        <v>45616</v>
      </c>
      <c r="B129" s="71" t="n">
        <v>1</v>
      </c>
      <c r="C129" s="48" t="inlineStr">
        <is>
          <t>14758063613</t>
        </is>
      </c>
      <c r="D129" s="76" t="inlineStr">
        <is>
          <t>IZAEL BISPO OLIVEIRA</t>
        </is>
      </c>
      <c r="E129" s="77" t="inlineStr">
        <is>
          <t>SALÁRIO</t>
        </is>
      </c>
      <c r="G129" s="78" t="n">
        <v>1104.8</v>
      </c>
      <c r="I129" s="78" t="n">
        <v>1104.8</v>
      </c>
      <c r="J129" s="80" t="inlineStr">
        <is>
          <t>19/11/2024</t>
        </is>
      </c>
      <c r="K129" s="52" t="inlineStr">
        <is>
          <t>MO</t>
        </is>
      </c>
      <c r="L129" t="inlineStr">
        <is>
          <t>PIX: 14758063613</t>
        </is>
      </c>
      <c r="N129">
        <f>IF(ISERROR(SEARCH("NF",E129,1)),"NÃO","SIM")</f>
        <v/>
      </c>
      <c r="O129">
        <f>IF($B129=5,"SIM","")</f>
        <v/>
      </c>
      <c r="P129" s="81">
        <f>A129&amp;B129&amp;C129&amp;E129&amp;G129&amp;EDATE(J129,0)</f>
        <v/>
      </c>
      <c r="Q129" s="71">
        <f>IF(A129=0,"",VLOOKUP($A129,RESUMO!$A$8:$B$83,2,FALSE))</f>
        <v/>
      </c>
    </row>
    <row r="130">
      <c r="A130" s="50" t="n">
        <v>45616</v>
      </c>
      <c r="B130" s="71" t="n">
        <v>1</v>
      </c>
      <c r="C130" s="48" t="inlineStr">
        <is>
          <t>85086894387</t>
        </is>
      </c>
      <c r="D130" s="76" t="inlineStr">
        <is>
          <t>ROBEVAL PORTACIO DOS SANTOS</t>
        </is>
      </c>
      <c r="E130" s="77" t="inlineStr">
        <is>
          <t>SALÁRIO</t>
        </is>
      </c>
      <c r="G130" s="78" t="n">
        <v>642.8</v>
      </c>
      <c r="I130" s="78" t="n">
        <v>642.8</v>
      </c>
      <c r="J130" s="80" t="inlineStr">
        <is>
          <t>19/11/2024</t>
        </is>
      </c>
      <c r="K130" s="52" t="inlineStr">
        <is>
          <t>MO</t>
        </is>
      </c>
      <c r="L130" t="inlineStr">
        <is>
          <t>PIX: 31971706400</t>
        </is>
      </c>
      <c r="N130">
        <f>IF(ISERROR(SEARCH("NF",E130,1)),"NÃO","SIM")</f>
        <v/>
      </c>
      <c r="O130">
        <f>IF($B130=5,"SIM","")</f>
        <v/>
      </c>
      <c r="P130" s="81">
        <f>A130&amp;B130&amp;C130&amp;E130&amp;G130&amp;EDATE(J130,0)</f>
        <v/>
      </c>
      <c r="Q130" s="71">
        <f>IF(A130=0,"",VLOOKUP($A130,RESUMO!$A$8:$B$83,2,FALSE))</f>
        <v/>
      </c>
    </row>
    <row r="131">
      <c r="A131" s="50" t="n">
        <v>45616</v>
      </c>
      <c r="B131" s="71" t="n">
        <v>1</v>
      </c>
      <c r="C131" s="48" t="inlineStr">
        <is>
          <t>87942119653</t>
        </is>
      </c>
      <c r="D131" s="76" t="inlineStr">
        <is>
          <t>DOMINGOS DA SILVA LIMA</t>
        </is>
      </c>
      <c r="E131" s="77" t="inlineStr">
        <is>
          <t>SALÁRIO</t>
        </is>
      </c>
      <c r="G131" s="78" t="n">
        <v>642.8</v>
      </c>
      <c r="I131" s="78" t="n">
        <v>642.8</v>
      </c>
      <c r="J131" s="80" t="inlineStr">
        <is>
          <t>19/11/2024</t>
        </is>
      </c>
      <c r="K131" s="52" t="inlineStr">
        <is>
          <t>MO</t>
        </is>
      </c>
      <c r="L131" t="inlineStr">
        <is>
          <t>CEF  013  0892  00113057-1 - CPF: 87.942.119.6-53</t>
        </is>
      </c>
      <c r="N131">
        <f>IF(ISERROR(SEARCH("NF",E131,1)),"NÃO","SIM")</f>
        <v/>
      </c>
      <c r="O131">
        <f>IF($B131=5,"SIM","")</f>
        <v/>
      </c>
      <c r="P131" s="81">
        <f>A131&amp;B131&amp;C131&amp;E131&amp;G131&amp;EDATE(J131,0)</f>
        <v/>
      </c>
      <c r="Q131" s="71">
        <f>IF(A131=0,"",VLOOKUP($A131,RESUMO!$A$8:$B$83,2,FALSE))</f>
        <v/>
      </c>
    </row>
    <row r="132">
      <c r="A132" s="50" t="n">
        <v>45616</v>
      </c>
      <c r="B132" s="71" t="n">
        <v>1</v>
      </c>
      <c r="C132" s="48" t="inlineStr">
        <is>
          <t>75746980315</t>
        </is>
      </c>
      <c r="D132" s="76" t="inlineStr">
        <is>
          <t>FRANCISCO REGO DA SILVA</t>
        </is>
      </c>
      <c r="E132" s="77" t="inlineStr">
        <is>
          <t>SALÁRIO</t>
        </is>
      </c>
      <c r="G132" s="78" t="n">
        <v>916</v>
      </c>
      <c r="I132" s="78" t="n">
        <v>916</v>
      </c>
      <c r="J132" s="80" t="inlineStr">
        <is>
          <t>19/11/2024</t>
        </is>
      </c>
      <c r="K132" s="52" t="inlineStr">
        <is>
          <t>MO</t>
        </is>
      </c>
      <c r="L132" t="inlineStr">
        <is>
          <t>PIX: 75746980315</t>
        </is>
      </c>
      <c r="N132">
        <f>IF(ISERROR(SEARCH("NF",E132,1)),"NÃO","SIM")</f>
        <v/>
      </c>
      <c r="O132">
        <f>IF($B132=5,"SIM","")</f>
        <v/>
      </c>
      <c r="P132" s="81">
        <f>A132&amp;B132&amp;C132&amp;E132&amp;G132&amp;EDATE(J132,0)</f>
        <v/>
      </c>
      <c r="Q132" s="71">
        <f>IF(A132=0,"",VLOOKUP($A132,RESUMO!$A$8:$B$83,2,FALSE))</f>
        <v/>
      </c>
    </row>
    <row r="133">
      <c r="A133" s="50" t="n">
        <v>45616</v>
      </c>
      <c r="B133" s="71" t="n">
        <v>1</v>
      </c>
      <c r="C133" s="48" t="inlineStr">
        <is>
          <t>01980098603</t>
        </is>
      </c>
      <c r="D133" s="76" t="inlineStr">
        <is>
          <t>LUCAS CATALUNHA DA SILVA</t>
        </is>
      </c>
      <c r="E133" s="77" t="inlineStr">
        <is>
          <t>SALÁRIO</t>
        </is>
      </c>
      <c r="G133" s="78" t="n">
        <v>557.09</v>
      </c>
      <c r="I133" s="78" t="n">
        <v>557.09</v>
      </c>
      <c r="J133" s="80" t="inlineStr">
        <is>
          <t>19/11/2024</t>
        </is>
      </c>
      <c r="K133" s="52" t="inlineStr">
        <is>
          <t>MO</t>
        </is>
      </c>
      <c r="L133" s="71" t="inlineStr">
        <is>
          <t>PIX: 01980098603</t>
        </is>
      </c>
      <c r="N133">
        <f>IF(ISERROR(SEARCH("NF",E133,1)),"NÃO","SIM")</f>
        <v/>
      </c>
      <c r="O133">
        <f>IF($B133=5,"SIM","")</f>
        <v/>
      </c>
      <c r="P133" s="81">
        <f>A133&amp;B133&amp;C133&amp;E133&amp;G133&amp;EDATE(J133,0)</f>
        <v/>
      </c>
      <c r="Q133" s="71">
        <f>IF(A133=0,"",VLOOKUP($A133,RESUMO!$A$8:$B$83,2,FALSE))</f>
        <v/>
      </c>
    </row>
    <row r="134">
      <c r="A134" s="50" t="n">
        <v>45616</v>
      </c>
      <c r="B134" s="71" t="n">
        <v>1</v>
      </c>
      <c r="C134" s="48" t="inlineStr">
        <is>
          <t>07573876670</t>
        </is>
      </c>
      <c r="D134" s="76" t="inlineStr">
        <is>
          <t>BRUNO JUNIO DA SILVA</t>
        </is>
      </c>
      <c r="E134" s="77" t="inlineStr">
        <is>
          <t>13º SALÁRIO</t>
        </is>
      </c>
      <c r="G134" s="78" t="n">
        <v>541.67</v>
      </c>
      <c r="I134" s="78" t="n">
        <v>541.67</v>
      </c>
      <c r="J134" s="80" t="inlineStr">
        <is>
          <t>19/11/2024</t>
        </is>
      </c>
      <c r="K134" s="52" t="inlineStr">
        <is>
          <t>MO</t>
        </is>
      </c>
      <c r="L134" t="inlineStr">
        <is>
          <t>PIX: 07573876670</t>
        </is>
      </c>
      <c r="N134">
        <f>IF(ISERROR(SEARCH("NF",E134,1)),"NÃO","SIM")</f>
        <v/>
      </c>
      <c r="O134">
        <f>IF($B134=5,"SIM","")</f>
        <v/>
      </c>
      <c r="P134" s="81">
        <f>A134&amp;B134&amp;C134&amp;E134&amp;G134&amp;EDATE(J134,0)</f>
        <v/>
      </c>
      <c r="Q134" s="71">
        <f>IF(A134=0,"",VLOOKUP($A134,RESUMO!$A$8:$B$83,2,FALSE))</f>
        <v/>
      </c>
    </row>
    <row r="135">
      <c r="A135" s="50" t="n">
        <v>45616</v>
      </c>
      <c r="B135" s="71" t="n">
        <v>1</v>
      </c>
      <c r="C135" s="48" t="inlineStr">
        <is>
          <t>00354432605</t>
        </is>
      </c>
      <c r="D135" s="76" t="inlineStr">
        <is>
          <t>ANTONIO DUTRA DE FREITAS</t>
        </is>
      </c>
      <c r="E135" s="77" t="inlineStr">
        <is>
          <t>13º SALÁRIO</t>
        </is>
      </c>
      <c r="G135" s="78" t="n">
        <v>230.17</v>
      </c>
      <c r="I135" s="78" t="n">
        <v>230.17</v>
      </c>
      <c r="J135" s="80" t="inlineStr">
        <is>
          <t>19/11/2024</t>
        </is>
      </c>
      <c r="K135" s="52" t="inlineStr">
        <is>
          <t>MO</t>
        </is>
      </c>
      <c r="L135" t="inlineStr">
        <is>
          <t>PIX: 31982618378</t>
        </is>
      </c>
      <c r="N135">
        <f>IF(ISERROR(SEARCH("NF",E135,1)),"NÃO","SIM")</f>
        <v/>
      </c>
      <c r="O135">
        <f>IF($B135=5,"SIM","")</f>
        <v/>
      </c>
      <c r="P135" s="81">
        <f>A135&amp;B135&amp;C135&amp;E135&amp;G135&amp;EDATE(J135,0)</f>
        <v/>
      </c>
      <c r="Q135" s="71">
        <f>IF(A135=0,"",VLOOKUP($A135,RESUMO!$A$8:$B$83,2,FALSE))</f>
        <v/>
      </c>
    </row>
    <row r="136">
      <c r="A136" s="50" t="n">
        <v>45616</v>
      </c>
      <c r="B136" s="71" t="n">
        <v>1</v>
      </c>
      <c r="C136" s="48" t="inlineStr">
        <is>
          <t>07249031600</t>
        </is>
      </c>
      <c r="D136" s="76" t="inlineStr">
        <is>
          <t>EDER PEREIRA DA SILVA</t>
        </is>
      </c>
      <c r="E136" s="77" t="inlineStr">
        <is>
          <t>13º SALÁRIO</t>
        </is>
      </c>
      <c r="G136" s="78" t="n">
        <v>230.17</v>
      </c>
      <c r="I136" s="78" t="n">
        <v>230.17</v>
      </c>
      <c r="J136" s="80" t="inlineStr">
        <is>
          <t>19/11/2024</t>
        </is>
      </c>
      <c r="K136" s="52" t="inlineStr">
        <is>
          <t>MO</t>
        </is>
      </c>
      <c r="L136" t="inlineStr">
        <is>
          <t>PIX: 07249031600</t>
        </is>
      </c>
      <c r="N136">
        <f>IF(ISERROR(SEARCH("NF",E136,1)),"NÃO","SIM")</f>
        <v/>
      </c>
      <c r="O136">
        <f>IF($B136=5,"SIM","")</f>
        <v/>
      </c>
      <c r="P136" s="81">
        <f>A136&amp;B136&amp;C136&amp;E136&amp;G136&amp;EDATE(J136,0)</f>
        <v/>
      </c>
      <c r="Q136" s="71">
        <f>IF(A136=0,"",VLOOKUP($A136,RESUMO!$A$8:$B$83,2,FALSE))</f>
        <v/>
      </c>
    </row>
    <row r="137">
      <c r="A137" s="50" t="n">
        <v>45616</v>
      </c>
      <c r="B137" s="71" t="n">
        <v>1</v>
      </c>
      <c r="C137" s="48" t="inlineStr">
        <is>
          <t>14758063613</t>
        </is>
      </c>
      <c r="D137" s="76" t="inlineStr">
        <is>
          <t>IZAEL BISPO OLIVEIRA</t>
        </is>
      </c>
      <c r="E137" s="77" t="inlineStr">
        <is>
          <t>13º SALÁRIO</t>
        </is>
      </c>
      <c r="G137" s="78" t="n">
        <v>230.17</v>
      </c>
      <c r="I137" s="78" t="n">
        <v>230.17</v>
      </c>
      <c r="J137" s="80" t="inlineStr">
        <is>
          <t>19/11/2024</t>
        </is>
      </c>
      <c r="K137" s="52" t="inlineStr">
        <is>
          <t>MO</t>
        </is>
      </c>
      <c r="L137" t="inlineStr">
        <is>
          <t>PIX: 14758063613</t>
        </is>
      </c>
      <c r="N137">
        <f>IF(ISERROR(SEARCH("NF",E137,1)),"NÃO","SIM")</f>
        <v/>
      </c>
      <c r="O137">
        <f>IF($B137=5,"SIM","")</f>
        <v/>
      </c>
      <c r="P137" s="81">
        <f>A137&amp;B137&amp;C137&amp;E137&amp;G137&amp;EDATE(J137,0)</f>
        <v/>
      </c>
      <c r="Q137" s="71">
        <f>IF(A137=0,"",VLOOKUP($A137,RESUMO!$A$8:$B$83,2,FALSE))</f>
        <v/>
      </c>
    </row>
    <row r="138">
      <c r="A138" s="50" t="n">
        <v>45616</v>
      </c>
      <c r="B138" s="71" t="n">
        <v>1</v>
      </c>
      <c r="C138" s="48" t="inlineStr">
        <is>
          <t>85086894387</t>
        </is>
      </c>
      <c r="D138" s="76" t="inlineStr">
        <is>
          <t>ROBEVAL PORTACIO DOS SANTOS</t>
        </is>
      </c>
      <c r="E138" s="77" t="inlineStr">
        <is>
          <t>13º SALÁRIO</t>
        </is>
      </c>
      <c r="G138" s="78" t="n">
        <v>133.92</v>
      </c>
      <c r="I138" s="78" t="n">
        <v>133.92</v>
      </c>
      <c r="J138" s="80" t="inlineStr">
        <is>
          <t>19/11/2024</t>
        </is>
      </c>
      <c r="K138" s="52" t="inlineStr">
        <is>
          <t>MO</t>
        </is>
      </c>
      <c r="L138" t="inlineStr">
        <is>
          <t>PIX: 31971706400</t>
        </is>
      </c>
      <c r="N138">
        <f>IF(ISERROR(SEARCH("NF",E138,1)),"NÃO","SIM")</f>
        <v/>
      </c>
      <c r="O138">
        <f>IF($B138=5,"SIM","")</f>
        <v/>
      </c>
      <c r="P138" s="81">
        <f>A138&amp;B138&amp;C138&amp;E138&amp;G138&amp;EDATE(J138,0)</f>
        <v/>
      </c>
      <c r="Q138" s="71">
        <f>IF(A138=0,"",VLOOKUP($A138,RESUMO!$A$8:$B$83,2,FALSE))</f>
        <v/>
      </c>
    </row>
    <row r="139">
      <c r="A139" s="50" t="n">
        <v>45616</v>
      </c>
      <c r="B139" s="71" t="n">
        <v>1</v>
      </c>
      <c r="C139" s="48" t="inlineStr">
        <is>
          <t>87942119653</t>
        </is>
      </c>
      <c r="D139" s="76" t="inlineStr">
        <is>
          <t>DOMINGOS DA SILVA LIMA</t>
        </is>
      </c>
      <c r="E139" s="77" t="inlineStr">
        <is>
          <t>13º SALÁRIO</t>
        </is>
      </c>
      <c r="G139" s="78" t="n">
        <v>133.92</v>
      </c>
      <c r="I139" s="78" t="n">
        <v>133.92</v>
      </c>
      <c r="J139" s="80" t="inlineStr">
        <is>
          <t>19/11/2024</t>
        </is>
      </c>
      <c r="K139" s="52" t="inlineStr">
        <is>
          <t>MO</t>
        </is>
      </c>
      <c r="L139" t="inlineStr">
        <is>
          <t>CEF  013  0892  00113057-1 - CPF: 87.942.119.6-53</t>
        </is>
      </c>
      <c r="N139">
        <f>IF(ISERROR(SEARCH("NF",E139,1)),"NÃO","SIM")</f>
        <v/>
      </c>
      <c r="O139">
        <f>IF($B139=5,"SIM","")</f>
        <v/>
      </c>
      <c r="P139" s="81">
        <f>A139&amp;B139&amp;C139&amp;E139&amp;G139&amp;EDATE(J139,0)</f>
        <v/>
      </c>
      <c r="Q139" s="71">
        <f>IF(A139=0,"",VLOOKUP($A139,RESUMO!$A$8:$B$83,2,FALSE))</f>
        <v/>
      </c>
    </row>
    <row r="140">
      <c r="A140" s="50" t="n">
        <v>45616</v>
      </c>
      <c r="B140" s="71" t="n">
        <v>1</v>
      </c>
      <c r="C140" s="48" t="inlineStr">
        <is>
          <t>75746980315</t>
        </is>
      </c>
      <c r="D140" s="76" t="inlineStr">
        <is>
          <t>FRANCISCO REGO DA SILVA</t>
        </is>
      </c>
      <c r="E140" s="77" t="inlineStr">
        <is>
          <t>13º SALÁRIO</t>
        </is>
      </c>
      <c r="G140" s="78" t="n">
        <v>190.83</v>
      </c>
      <c r="I140" s="78" t="n">
        <v>190.83</v>
      </c>
      <c r="J140" s="80" t="inlineStr">
        <is>
          <t>19/11/2024</t>
        </is>
      </c>
      <c r="K140" s="52" t="inlineStr">
        <is>
          <t>MO</t>
        </is>
      </c>
      <c r="L140" t="inlineStr">
        <is>
          <t>PIX: 75746980315</t>
        </is>
      </c>
      <c r="N140">
        <f>IF(ISERROR(SEARCH("NF",E140,1)),"NÃO","SIM")</f>
        <v/>
      </c>
      <c r="O140">
        <f>IF($B140=5,"SIM","")</f>
        <v/>
      </c>
      <c r="P140" s="81">
        <f>A140&amp;B140&amp;C140&amp;E140&amp;G140&amp;EDATE(J140,0)</f>
        <v/>
      </c>
      <c r="Q140" s="71">
        <f>IF(A140=0,"",VLOOKUP($A140,RESUMO!$A$8:$B$83,2,FALSE))</f>
        <v/>
      </c>
    </row>
    <row r="141">
      <c r="A141" s="50" t="n">
        <v>45616</v>
      </c>
      <c r="B141" s="71" t="n">
        <v>1</v>
      </c>
      <c r="C141" s="48" t="inlineStr">
        <is>
          <t>01980098603</t>
        </is>
      </c>
      <c r="D141" s="76" t="inlineStr">
        <is>
          <t>LUCAS CATALUNHA DA SILVA</t>
        </is>
      </c>
      <c r="E141" s="77" t="inlineStr">
        <is>
          <t>13º SALÁRIO</t>
        </is>
      </c>
      <c r="G141" s="78" t="n">
        <v>66.95999999999999</v>
      </c>
      <c r="I141" s="78" t="n">
        <v>66.95999999999999</v>
      </c>
      <c r="J141" s="80" t="inlineStr">
        <is>
          <t>19/11/2024</t>
        </is>
      </c>
      <c r="K141" s="52" t="inlineStr">
        <is>
          <t>MO</t>
        </is>
      </c>
      <c r="L141" s="71" t="inlineStr">
        <is>
          <t>PIX: 01980098603</t>
        </is>
      </c>
      <c r="N141">
        <f>IF(ISERROR(SEARCH("NF",E141,1)),"NÃO","SIM")</f>
        <v/>
      </c>
      <c r="O141">
        <f>IF($B141=5,"SIM","")</f>
        <v/>
      </c>
      <c r="P141" s="81">
        <f>A141&amp;B141&amp;C141&amp;E141&amp;G141&amp;EDATE(J141,0)</f>
        <v/>
      </c>
      <c r="Q141" s="71">
        <f>IF(A141=0,"",VLOOKUP($A141,RESUMO!$A$8:$B$83,2,FALSE))</f>
        <v/>
      </c>
    </row>
    <row r="142">
      <c r="A142" s="50" t="n">
        <v>45616</v>
      </c>
      <c r="B142" s="71" t="n">
        <v>1</v>
      </c>
      <c r="C142" s="48" t="inlineStr">
        <is>
          <t>36404993600</t>
        </is>
      </c>
      <c r="D142" s="76" t="inlineStr">
        <is>
          <t xml:space="preserve">NIVALDO DA SILVA </t>
        </is>
      </c>
      <c r="E142" s="77" t="inlineStr">
        <is>
          <t>DIÁRIA</t>
        </is>
      </c>
      <c r="G142" s="78" t="n">
        <v>270</v>
      </c>
      <c r="H142" s="79" t="n">
        <v>10</v>
      </c>
      <c r="I142" s="78" t="n">
        <v>2700</v>
      </c>
      <c r="J142" s="80" t="inlineStr">
        <is>
          <t>19/11/2024</t>
        </is>
      </c>
      <c r="K142" s="52" t="inlineStr">
        <is>
          <t>MO</t>
        </is>
      </c>
      <c r="L142" t="inlineStr">
        <is>
          <t>PIX: 36404993600</t>
        </is>
      </c>
      <c r="N142">
        <f>IF(ISERROR(SEARCH("NF",E142,1)),"NÃO","SIM")</f>
        <v/>
      </c>
      <c r="O142">
        <f>IF($B142=5,"SIM","")</f>
        <v/>
      </c>
      <c r="P142" s="81">
        <f>A142&amp;B142&amp;C142&amp;E142&amp;G142&amp;EDATE(J142,0)</f>
        <v/>
      </c>
      <c r="Q142" s="71">
        <f>IF(A142=0,"",VLOOKUP($A142,RESUMO!$A$8:$B$83,2,FALSE))</f>
        <v/>
      </c>
    </row>
    <row r="143">
      <c r="A143" s="50" t="n">
        <v>45616</v>
      </c>
      <c r="B143" s="71" t="n">
        <v>1</v>
      </c>
      <c r="C143" s="48" t="inlineStr">
        <is>
          <t>12312366630</t>
        </is>
      </c>
      <c r="D143" s="76" t="inlineStr">
        <is>
          <t>MARCOS VIANA FREITAS</t>
        </is>
      </c>
      <c r="E143" s="77" t="inlineStr">
        <is>
          <t>DIÁRIA</t>
        </is>
      </c>
      <c r="G143" s="78" t="n">
        <v>135</v>
      </c>
      <c r="H143" s="79" t="n">
        <v>1</v>
      </c>
      <c r="I143" s="78" t="n">
        <v>135</v>
      </c>
      <c r="J143" s="80" t="inlineStr">
        <is>
          <t>19/11/2024</t>
        </is>
      </c>
      <c r="K143" s="52" t="inlineStr">
        <is>
          <t>MO</t>
        </is>
      </c>
      <c r="L143" t="inlineStr">
        <is>
          <t>PIX: mv483916@gmail.com</t>
        </is>
      </c>
      <c r="N143">
        <f>IF(ISERROR(SEARCH("NF",E143,1)),"NÃO","SIM")</f>
        <v/>
      </c>
      <c r="O143">
        <f>IF($B143=5,"SIM","")</f>
        <v/>
      </c>
      <c r="P143" s="81">
        <f>A143&amp;B143&amp;C143&amp;E143&amp;G143&amp;EDATE(J143,0)</f>
        <v/>
      </c>
      <c r="Q143" s="71">
        <f>IF(A143=0,"",VLOOKUP($A143,RESUMO!$A$8:$B$83,2,FALSE))</f>
        <v/>
      </c>
    </row>
    <row r="144">
      <c r="A144" s="50" t="n">
        <v>45616</v>
      </c>
      <c r="B144" s="71" t="n">
        <v>2</v>
      </c>
      <c r="C144" s="48" t="inlineStr">
        <is>
          <t>00000011045</t>
        </is>
      </c>
      <c r="D144" s="76" t="inlineStr">
        <is>
          <t>MHS EVENTO SST ESOCIAL</t>
        </is>
      </c>
      <c r="E144" s="77" t="inlineStr">
        <is>
          <t>COMPETENCIA 10/2024 - NF A EMITIR</t>
        </is>
      </c>
      <c r="G144" s="78" t="n">
        <v>79.8</v>
      </c>
      <c r="I144" s="78" t="n">
        <v>79.8</v>
      </c>
      <c r="J144" s="80" t="inlineStr">
        <is>
          <t>19/11/2024</t>
        </is>
      </c>
      <c r="K144" s="52" t="inlineStr">
        <is>
          <t>MO</t>
        </is>
      </c>
      <c r="L144" t="inlineStr">
        <is>
          <t>PIX: 31995901635</t>
        </is>
      </c>
      <c r="N144">
        <f>IF(ISERROR(SEARCH("NF",E144,1)),"NÃO","SIM")</f>
        <v/>
      </c>
      <c r="O144">
        <f>IF($B144=5,"SIM","")</f>
        <v/>
      </c>
      <c r="P144" s="81">
        <f>A144&amp;B144&amp;C144&amp;E144&amp;G144&amp;EDATE(J144,0)</f>
        <v/>
      </c>
      <c r="Q144" s="71">
        <f>IF(A144=0,"",VLOOKUP($A144,RESUMO!$A$8:$B$83,2,FALSE))</f>
        <v/>
      </c>
    </row>
    <row r="145">
      <c r="A145" s="50" t="n">
        <v>45616</v>
      </c>
      <c r="B145" s="71" t="n">
        <v>2</v>
      </c>
      <c r="C145" s="48" t="inlineStr">
        <is>
          <t>78068991620</t>
        </is>
      </c>
      <c r="D145" s="76" t="inlineStr">
        <is>
          <t xml:space="preserve">GERALDO LUCIANO FERREIRA </t>
        </is>
      </c>
      <c r="E145" s="77" t="inlineStr">
        <is>
          <t>ESCAVAÇÃO DE TUBULÃO</t>
        </is>
      </c>
      <c r="G145" s="78" t="n">
        <v>8380.799999999999</v>
      </c>
      <c r="I145" s="78" t="n">
        <v>8380.799999999999</v>
      </c>
      <c r="J145" s="80" t="inlineStr">
        <is>
          <t>19/11/2024</t>
        </is>
      </c>
      <c r="K145" s="52" t="inlineStr">
        <is>
          <t>SERV</t>
        </is>
      </c>
      <c r="L145" t="inlineStr">
        <is>
          <t>ITAÚ    8562  37658 - CPF: 78.068.991.6-20</t>
        </is>
      </c>
      <c r="N145">
        <f>IF(ISERROR(SEARCH("NF",E145,1)),"NÃO","SIM")</f>
        <v/>
      </c>
      <c r="O145">
        <f>IF($B145=5,"SIM","")</f>
        <v/>
      </c>
      <c r="P145" s="81">
        <f>A145&amp;B145&amp;C145&amp;E145&amp;G145&amp;EDATE(J145,0)</f>
        <v/>
      </c>
      <c r="Q145" s="71">
        <f>IF(A145=0,"",VLOOKUP($A145,RESUMO!$A$8:$B$83,2,FALSE))</f>
        <v/>
      </c>
    </row>
    <row r="146">
      <c r="A146" s="50" t="n">
        <v>45616</v>
      </c>
      <c r="B146" s="71" t="n">
        <v>3</v>
      </c>
      <c r="C146" s="48" t="inlineStr">
        <is>
          <t>97397491000198</t>
        </is>
      </c>
      <c r="D146" s="76" t="inlineStr">
        <is>
          <t>COMERCIAL ISO LTDA</t>
        </is>
      </c>
      <c r="E146" s="77" t="inlineStr">
        <is>
          <t>PROTETOR DE PISO - NF 61330</t>
        </is>
      </c>
      <c r="G146" s="78" t="n">
        <v>1770</v>
      </c>
      <c r="I146" s="78" t="n">
        <v>1770</v>
      </c>
      <c r="J146" s="80" t="inlineStr">
        <is>
          <t>02/12/2024</t>
        </is>
      </c>
      <c r="K146" s="52" t="inlineStr">
        <is>
          <t>MAT</t>
        </is>
      </c>
      <c r="N146">
        <f>IF(ISERROR(SEARCH("NF",E146,1)),"NÃO","SIM")</f>
        <v/>
      </c>
      <c r="O146">
        <f>IF($B146=5,"SIM","")</f>
        <v/>
      </c>
      <c r="P146" s="81">
        <f>A146&amp;B146&amp;C146&amp;E146&amp;G146&amp;EDATE(J146,0)</f>
        <v/>
      </c>
      <c r="Q146" s="71">
        <f>IF(A146=0,"",VLOOKUP($A146,RESUMO!$A$8:$B$83,2,FALSE))</f>
        <v/>
      </c>
    </row>
    <row r="147">
      <c r="A147" s="50" t="n">
        <v>45616</v>
      </c>
      <c r="B147" s="71" t="n">
        <v>3</v>
      </c>
      <c r="C147" s="48" t="inlineStr">
        <is>
          <t>17015387000152</t>
        </is>
      </c>
      <c r="D147" s="76" t="inlineStr">
        <is>
          <t xml:space="preserve">UNIÃO IMPERMEABILIZANTES </t>
        </is>
      </c>
      <c r="E147" s="77" t="inlineStr">
        <is>
          <t>MANTA GEOTEXTIL - NF 13400</t>
        </is>
      </c>
      <c r="G147" s="78" t="n">
        <v>860</v>
      </c>
      <c r="I147" s="78" t="n">
        <v>860</v>
      </c>
      <c r="J147" s="80" t="inlineStr">
        <is>
          <t>02/12/2024</t>
        </is>
      </c>
      <c r="K147" s="52" t="inlineStr">
        <is>
          <t>MAT</t>
        </is>
      </c>
      <c r="N147">
        <f>IF(ISERROR(SEARCH("NF",E147,1)),"NÃO","SIM")</f>
        <v/>
      </c>
      <c r="O147">
        <f>IF($B147=5,"SIM","")</f>
        <v/>
      </c>
      <c r="P147" s="81">
        <f>A147&amp;B147&amp;C147&amp;E147&amp;G147&amp;EDATE(J147,0)</f>
        <v/>
      </c>
      <c r="Q147" s="71">
        <f>IF(A147=0,"",VLOOKUP($A147,RESUMO!$A$8:$B$83,2,FALSE))</f>
        <v/>
      </c>
    </row>
    <row r="148">
      <c r="A148" s="50" t="n">
        <v>45616</v>
      </c>
      <c r="B148" s="71" t="n">
        <v>3</v>
      </c>
      <c r="C148" s="48" t="inlineStr">
        <is>
          <t>07409393000130</t>
        </is>
      </c>
      <c r="D148" s="76" t="inlineStr">
        <is>
          <t>LOCFER</t>
        </is>
      </c>
      <c r="E148" s="77" t="inlineStr">
        <is>
          <t>ADAPTADOR E MANDRIL - NF 2800</t>
        </is>
      </c>
      <c r="G148" s="78" t="n">
        <v>82</v>
      </c>
      <c r="I148" s="78" t="n">
        <v>82</v>
      </c>
      <c r="J148" s="80" t="inlineStr">
        <is>
          <t>04/12/2024</t>
        </is>
      </c>
      <c r="K148" s="52" t="inlineStr">
        <is>
          <t>LOC</t>
        </is>
      </c>
      <c r="N148">
        <f>IF(ISERROR(SEARCH("NF",E148,1)),"NÃO","SIM")</f>
        <v/>
      </c>
      <c r="O148">
        <f>IF($B148=5,"SIM","")</f>
        <v/>
      </c>
      <c r="P148" s="81">
        <f>A148&amp;B148&amp;C148&amp;E148&amp;G148&amp;EDATE(J148,0)</f>
        <v/>
      </c>
      <c r="Q148" s="71">
        <f>IF(A148=0,"",VLOOKUP($A148,RESUMO!$A$8:$B$83,2,FALSE))</f>
        <v/>
      </c>
    </row>
    <row r="149">
      <c r="A149" s="50" t="n">
        <v>45616</v>
      </c>
      <c r="B149" s="71" t="n">
        <v>3</v>
      </c>
      <c r="C149" s="48" t="inlineStr">
        <is>
          <t>07409393000130</t>
        </is>
      </c>
      <c r="D149" s="76" t="inlineStr">
        <is>
          <t>LOCFER</t>
        </is>
      </c>
      <c r="E149" s="77" t="inlineStr">
        <is>
          <t>SERRA, MARTELO - NF 26740</t>
        </is>
      </c>
      <c r="G149" s="78" t="n">
        <v>1250</v>
      </c>
      <c r="I149" s="78" t="n">
        <v>1250</v>
      </c>
      <c r="J149" s="80" t="inlineStr">
        <is>
          <t>04/12/2024</t>
        </is>
      </c>
      <c r="K149" s="52" t="inlineStr">
        <is>
          <t>LOC</t>
        </is>
      </c>
      <c r="N149">
        <f>IF(ISERROR(SEARCH("NF",E149,1)),"NÃO","SIM")</f>
        <v/>
      </c>
      <c r="O149">
        <f>IF($B149=5,"SIM","")</f>
        <v/>
      </c>
      <c r="P149" s="81">
        <f>A149&amp;B149&amp;C149&amp;E149&amp;G149&amp;EDATE(J149,0)</f>
        <v/>
      </c>
      <c r="Q149" s="71">
        <f>IF(A149=0,"",VLOOKUP($A149,RESUMO!$A$8:$B$83,2,FALSE))</f>
        <v/>
      </c>
    </row>
    <row r="150">
      <c r="A150" s="50" t="n">
        <v>45616</v>
      </c>
      <c r="B150" s="71" t="n">
        <v>3</v>
      </c>
      <c r="C150" s="48" t="inlineStr">
        <is>
          <t>14072798002720</t>
        </is>
      </c>
      <c r="D150" s="76" t="inlineStr">
        <is>
          <t>NOSSA LOJA</t>
        </is>
      </c>
      <c r="E150" s="77" t="inlineStr">
        <is>
          <t>TINTAS - NF 5967</t>
        </is>
      </c>
      <c r="G150" s="78" t="n">
        <v>315</v>
      </c>
      <c r="I150" s="78" t="n">
        <v>315</v>
      </c>
      <c r="J150" s="80" t="inlineStr">
        <is>
          <t>05/12/2024</t>
        </is>
      </c>
      <c r="K150" s="52" t="inlineStr">
        <is>
          <t>MAT</t>
        </is>
      </c>
      <c r="N150">
        <f>IF(ISERROR(SEARCH("NF",E150,1)),"NÃO","SIM")</f>
        <v/>
      </c>
      <c r="O150">
        <f>IF($B150=5,"SIM","")</f>
        <v/>
      </c>
      <c r="P150" s="81">
        <f>A150&amp;B150&amp;C150&amp;E150&amp;G150&amp;EDATE(J150,0)</f>
        <v/>
      </c>
      <c r="Q150" s="71">
        <f>IF(A150=0,"",VLOOKUP($A150,RESUMO!$A$8:$B$83,2,FALSE))</f>
        <v/>
      </c>
    </row>
    <row r="151">
      <c r="A151" s="50" t="n">
        <v>45616</v>
      </c>
      <c r="B151" s="71" t="n">
        <v>3</v>
      </c>
      <c r="C151" s="48" t="inlineStr">
        <is>
          <t>00360305000104</t>
        </is>
      </c>
      <c r="D151" s="76" t="inlineStr">
        <is>
          <t>FGTS</t>
        </is>
      </c>
      <c r="E151" s="77" t="inlineStr">
        <is>
          <t>COMPETENCIA 10/2024</t>
        </is>
      </c>
      <c r="G151" s="78" t="n">
        <v>1298.52</v>
      </c>
      <c r="I151" s="78" t="n">
        <v>1298.52</v>
      </c>
      <c r="J151" s="80" t="inlineStr">
        <is>
          <t>19/11/2024</t>
        </is>
      </c>
      <c r="K151" s="52" t="inlineStr">
        <is>
          <t>MO</t>
        </is>
      </c>
      <c r="N151">
        <f>IF(ISERROR(SEARCH("NF",E151,1)),"NÃO","SIM")</f>
        <v/>
      </c>
      <c r="O151">
        <f>IF($B151=5,"SIM","")</f>
        <v/>
      </c>
      <c r="P151" s="81">
        <f>A151&amp;B151&amp;C151&amp;E151&amp;G151&amp;EDATE(J151,0)</f>
        <v/>
      </c>
      <c r="Q151" s="71">
        <f>IF(A151=0,"",VLOOKUP($A151,RESUMO!$A$8:$B$83,2,FALSE))</f>
        <v/>
      </c>
    </row>
    <row r="152">
      <c r="A152" s="50" t="n">
        <v>45616</v>
      </c>
      <c r="B152" s="71" t="n">
        <v>3</v>
      </c>
      <c r="C152" s="48" t="inlineStr">
        <is>
          <t>00394460000141</t>
        </is>
      </c>
      <c r="D152" s="76" t="inlineStr">
        <is>
          <t>INSS/IRRF</t>
        </is>
      </c>
      <c r="E152" s="77" t="inlineStr">
        <is>
          <t>COMPETENCIA 10/2024</t>
        </is>
      </c>
      <c r="G152" s="78" t="n">
        <v>6471.35</v>
      </c>
      <c r="I152" s="78" t="n">
        <v>6471.35</v>
      </c>
      <c r="J152" s="80" t="inlineStr">
        <is>
          <t>19/11/2024</t>
        </is>
      </c>
      <c r="K152" s="52" t="inlineStr">
        <is>
          <t>MO</t>
        </is>
      </c>
      <c r="N152">
        <f>IF(ISERROR(SEARCH("NF",E152,1)),"NÃO","SIM")</f>
        <v/>
      </c>
      <c r="O152">
        <f>IF($B152=5,"SIM","")</f>
        <v/>
      </c>
      <c r="P152" s="81">
        <f>A152&amp;B152&amp;C152&amp;E152&amp;G152&amp;EDATE(J152,0)</f>
        <v/>
      </c>
      <c r="Q152" s="71">
        <f>IF(A152=0,"",VLOOKUP($A152,RESUMO!$A$8:$B$83,2,FALSE))</f>
        <v/>
      </c>
    </row>
    <row r="153">
      <c r="A153" s="50" t="n">
        <v>45616</v>
      </c>
      <c r="B153" s="71" t="n">
        <v>3</v>
      </c>
      <c r="C153" s="48" t="inlineStr">
        <is>
          <t>41598885000150</t>
        </is>
      </c>
      <c r="D153" s="76" t="inlineStr">
        <is>
          <t>CACAMBAS BOA VISTA LTDA</t>
        </is>
      </c>
      <c r="E153" s="77" t="inlineStr">
        <is>
          <t>LOCAÇÃO DE CAÇAMBAS - NF 2014</t>
        </is>
      </c>
      <c r="G153" s="78" t="n">
        <v>660</v>
      </c>
      <c r="I153" s="78" t="n">
        <v>660</v>
      </c>
      <c r="J153" s="80" t="inlineStr">
        <is>
          <t>21/11/2024</t>
        </is>
      </c>
      <c r="K153" s="52" t="inlineStr">
        <is>
          <t>LOC</t>
        </is>
      </c>
      <c r="N153">
        <f>IF(ISERROR(SEARCH("NF",E153,1)),"NÃO","SIM")</f>
        <v/>
      </c>
      <c r="O153">
        <f>IF($B153=5,"SIM","")</f>
        <v/>
      </c>
      <c r="P153" s="81">
        <f>A153&amp;B153&amp;C153&amp;E153&amp;G153&amp;EDATE(J153,0)</f>
        <v/>
      </c>
      <c r="Q153" s="71">
        <f>IF(A153=0,"",VLOOKUP($A153,RESUMO!$A$8:$B$83,2,FALSE))</f>
        <v/>
      </c>
    </row>
    <row r="154">
      <c r="A154" s="50" t="n">
        <v>45616</v>
      </c>
      <c r="B154" s="71" t="n">
        <v>3</v>
      </c>
      <c r="C154" s="48" t="inlineStr">
        <is>
          <t>30996544000116</t>
        </is>
      </c>
      <c r="D154" s="76" t="inlineStr">
        <is>
          <t>WORK MED</t>
        </is>
      </c>
      <c r="E154" s="77" t="inlineStr">
        <is>
          <t>REALIZAÇÃO DE EXAMES ADMISSIONAL - NF 3468</t>
        </is>
      </c>
      <c r="G154" s="78" t="n">
        <v>1216</v>
      </c>
      <c r="I154" s="78" t="n">
        <v>1216</v>
      </c>
      <c r="J154" s="80" t="inlineStr">
        <is>
          <t>21/11/2024</t>
        </is>
      </c>
      <c r="K154" s="52" t="inlineStr">
        <is>
          <t>MO</t>
        </is>
      </c>
      <c r="N154">
        <f>IF(ISERROR(SEARCH("NF",E154,1)),"NÃO","SIM")</f>
        <v/>
      </c>
      <c r="O154">
        <f>IF($B154=5,"SIM","")</f>
        <v/>
      </c>
      <c r="P154" s="81">
        <f>A154&amp;B154&amp;C154&amp;E154&amp;G154&amp;EDATE(J154,0)</f>
        <v/>
      </c>
      <c r="Q154" s="71">
        <f>IF(A154=0,"",VLOOKUP($A154,RESUMO!$A$8:$B$83,2,FALSE))</f>
        <v/>
      </c>
    </row>
    <row r="155">
      <c r="A155" s="50" t="n">
        <v>45616</v>
      </c>
      <c r="B155" s="71" t="n">
        <v>3</v>
      </c>
      <c r="C155" s="48" t="inlineStr">
        <is>
          <t>21944558000103</t>
        </is>
      </c>
      <c r="D155" s="76" t="inlineStr">
        <is>
          <t>LOCAN ANDAIMES</t>
        </is>
      </c>
      <c r="E155" s="77" t="inlineStr">
        <is>
          <t>LOCAÇÃO DE ANDAIMES - ND 10018</t>
        </is>
      </c>
      <c r="G155" s="78" t="n">
        <v>228</v>
      </c>
      <c r="I155" s="78" t="n">
        <v>228</v>
      </c>
      <c r="J155" s="80" t="inlineStr">
        <is>
          <t>21/11/2024</t>
        </is>
      </c>
      <c r="K155" s="52" t="inlineStr">
        <is>
          <t>LOC</t>
        </is>
      </c>
      <c r="N155">
        <f>IF(ISERROR(SEARCH("NF",E155,1)),"NÃO","SIM")</f>
        <v/>
      </c>
      <c r="O155">
        <f>IF($B155=5,"SIM","")</f>
        <v/>
      </c>
      <c r="P155" s="81">
        <f>A155&amp;B155&amp;C155&amp;E155&amp;G155&amp;EDATE(J155,0)</f>
        <v/>
      </c>
      <c r="Q155" s="71">
        <f>IF(A155=0,"",VLOOKUP($A155,RESUMO!$A$8:$B$83,2,FALSE))</f>
        <v/>
      </c>
    </row>
    <row r="156">
      <c r="A156" s="50" t="n">
        <v>45616</v>
      </c>
      <c r="B156" s="71" t="n">
        <v>3</v>
      </c>
      <c r="C156" s="48" t="inlineStr">
        <is>
          <t>51708324000110</t>
        </is>
      </c>
      <c r="D156" s="76" t="inlineStr">
        <is>
          <t>AMAZONIA UNIFORMES LTDA</t>
        </is>
      </c>
      <c r="E156" s="77" t="inlineStr">
        <is>
          <t>UNIFORMES - NF 896</t>
        </is>
      </c>
      <c r="G156" s="78" t="n">
        <v>1268</v>
      </c>
      <c r="I156" s="78" t="n">
        <v>1268</v>
      </c>
      <c r="J156" s="80" t="inlineStr">
        <is>
          <t>21/11/2024</t>
        </is>
      </c>
      <c r="K156" s="52" t="inlineStr">
        <is>
          <t>MO</t>
        </is>
      </c>
      <c r="N156">
        <f>IF(ISERROR(SEARCH("NF",E156,1)),"NÃO","SIM")</f>
        <v/>
      </c>
      <c r="O156">
        <f>IF($B156=5,"SIM","")</f>
        <v/>
      </c>
      <c r="P156" s="81">
        <f>A156&amp;B156&amp;C156&amp;E156&amp;G156&amp;EDATE(J156,0)</f>
        <v/>
      </c>
      <c r="Q156" s="71">
        <f>IF(A156=0,"",VLOOKUP($A156,RESUMO!$A$8:$B$83,2,FALSE))</f>
        <v/>
      </c>
    </row>
    <row r="157">
      <c r="A157" s="50" t="n">
        <v>45616</v>
      </c>
      <c r="B157" s="71" t="n">
        <v>3</v>
      </c>
      <c r="C157" s="48" t="inlineStr">
        <is>
          <t>07409393000130</t>
        </is>
      </c>
      <c r="D157" s="76" t="inlineStr">
        <is>
          <t>LOCFER</t>
        </is>
      </c>
      <c r="E157" s="77" t="inlineStr">
        <is>
          <t>ESMERILHADEIRA - NF 26570</t>
        </is>
      </c>
      <c r="G157" s="78" t="n">
        <v>100</v>
      </c>
      <c r="I157" s="78" t="n">
        <v>100</v>
      </c>
      <c r="J157" s="80" t="inlineStr">
        <is>
          <t>22/11/2024</t>
        </is>
      </c>
      <c r="K157" s="52" t="inlineStr">
        <is>
          <t>LOC</t>
        </is>
      </c>
      <c r="N157">
        <f>IF(ISERROR(SEARCH("NF",E157,1)),"NÃO","SIM")</f>
        <v/>
      </c>
      <c r="O157">
        <f>IF($B157=5,"SIM","")</f>
        <v/>
      </c>
      <c r="P157" s="81">
        <f>A157&amp;B157&amp;C157&amp;E157&amp;G157&amp;EDATE(J157,0)</f>
        <v/>
      </c>
      <c r="Q157" s="71">
        <f>IF(A157=0,"",VLOOKUP($A157,RESUMO!$A$8:$B$83,2,FALSE))</f>
        <v/>
      </c>
    </row>
    <row r="158">
      <c r="A158" s="50" t="n">
        <v>45616</v>
      </c>
      <c r="B158" s="71" t="n">
        <v>3</v>
      </c>
      <c r="C158" s="48" t="inlineStr">
        <is>
          <t>07409393000130</t>
        </is>
      </c>
      <c r="D158" s="76" t="inlineStr">
        <is>
          <t>LOCFER</t>
        </is>
      </c>
      <c r="E158" s="77" t="inlineStr">
        <is>
          <t>SERRA E POLICORTE - NF 26662</t>
        </is>
      </c>
      <c r="G158" s="78" t="n">
        <v>235</v>
      </c>
      <c r="I158" s="78" t="n">
        <v>235</v>
      </c>
      <c r="J158" s="80" t="inlineStr">
        <is>
          <t>28/11/2024</t>
        </is>
      </c>
      <c r="K158" s="52" t="inlineStr">
        <is>
          <t>LOC</t>
        </is>
      </c>
      <c r="N158">
        <f>IF(ISERROR(SEARCH("NF",E158,1)),"NÃO","SIM")</f>
        <v/>
      </c>
      <c r="O158">
        <f>IF($B158=5,"SIM","")</f>
        <v/>
      </c>
      <c r="P158" s="81">
        <f>A158&amp;B158&amp;C158&amp;E158&amp;G158&amp;EDATE(J158,0)</f>
        <v/>
      </c>
      <c r="Q158" s="71">
        <f>IF(A158=0,"",VLOOKUP($A158,RESUMO!$A$8:$B$83,2,FALSE))</f>
        <v/>
      </c>
    </row>
    <row r="159">
      <c r="A159" s="50" t="n">
        <v>45616</v>
      </c>
      <c r="B159" s="71" t="n">
        <v>3</v>
      </c>
      <c r="C159" s="48" t="inlineStr">
        <is>
          <t>24654133000220</t>
        </is>
      </c>
      <c r="D159" s="76" t="inlineStr">
        <is>
          <t xml:space="preserve">PLIMAX PERSONA </t>
        </is>
      </c>
      <c r="E159" s="77" t="inlineStr">
        <is>
          <t>CESTAS BASICAS - NF 262826</t>
        </is>
      </c>
      <c r="G159" s="78" t="n">
        <v>1955.59</v>
      </c>
      <c r="I159" s="78" t="n">
        <v>1955.59</v>
      </c>
      <c r="J159" s="80" t="inlineStr">
        <is>
          <t>28/11/2024</t>
        </is>
      </c>
      <c r="K159" s="52" t="inlineStr">
        <is>
          <t>MO</t>
        </is>
      </c>
      <c r="N159">
        <f>IF(ISERROR(SEARCH("NF",E159,1)),"NÃO","SIM")</f>
        <v/>
      </c>
      <c r="O159">
        <f>IF($B159=5,"SIM","")</f>
        <v/>
      </c>
      <c r="P159" s="81">
        <f>A159&amp;B159&amp;C159&amp;E159&amp;G159&amp;EDATE(J159,0)</f>
        <v/>
      </c>
      <c r="Q159" s="71">
        <f>IF(A159=0,"",VLOOKUP($A159,RESUMO!$A$8:$B$83,2,FALSE))</f>
        <v/>
      </c>
    </row>
    <row r="160">
      <c r="A160" s="50" t="n">
        <v>45616</v>
      </c>
      <c r="B160" s="71" t="n">
        <v>3</v>
      </c>
      <c r="C160" s="48" t="inlineStr">
        <is>
          <t>38727707000177</t>
        </is>
      </c>
      <c r="D160" s="76" t="inlineStr">
        <is>
          <t>PASI SEGURO</t>
        </is>
      </c>
      <c r="E160" s="77" t="inlineStr">
        <is>
          <t>SEGURO COLABORADORES</t>
        </is>
      </c>
      <c r="G160" s="78" t="n">
        <v>199.71</v>
      </c>
      <c r="I160" s="78" t="n">
        <v>199.71</v>
      </c>
      <c r="J160" s="80" t="inlineStr">
        <is>
          <t>30/11/2024</t>
        </is>
      </c>
      <c r="K160" s="52" t="inlineStr">
        <is>
          <t>MO</t>
        </is>
      </c>
      <c r="N160">
        <f>IF(ISERROR(SEARCH("NF",E160,1)),"NÃO","SIM")</f>
        <v/>
      </c>
      <c r="O160">
        <f>IF($B160=5,"SIM","")</f>
        <v/>
      </c>
      <c r="P160" s="81">
        <f>A160&amp;B160&amp;C160&amp;E160&amp;G160&amp;EDATE(J160,0)</f>
        <v/>
      </c>
      <c r="Q160" s="71">
        <f>IF(A160=0,"",VLOOKUP($A160,RESUMO!$A$8:$B$83,2,FALSE))</f>
        <v/>
      </c>
    </row>
    <row r="161">
      <c r="A161" s="50" t="n">
        <v>45616</v>
      </c>
      <c r="B161" s="71" t="n">
        <v>5</v>
      </c>
      <c r="C161" s="48" t="inlineStr">
        <is>
          <t>00006288600</t>
        </is>
      </c>
      <c r="D161" s="76" t="inlineStr">
        <is>
          <t>IVANY ANTONIO SOARES TANCREDO</t>
        </is>
      </c>
      <c r="E161" s="77" t="inlineStr">
        <is>
          <t>50% PROJETO RETANGULÃO</t>
        </is>
      </c>
      <c r="G161" s="78" t="n">
        <v>3500</v>
      </c>
      <c r="I161" s="78" t="n">
        <v>3500</v>
      </c>
      <c r="J161" s="80" t="inlineStr">
        <is>
          <t>01/11/2024</t>
        </is>
      </c>
      <c r="K161" s="52" t="inlineStr">
        <is>
          <t>SERV</t>
        </is>
      </c>
      <c r="N161">
        <f>IF(ISERROR(SEARCH("NF",E161,1)),"NÃO","SIM")</f>
        <v/>
      </c>
      <c r="O161">
        <f>IF($B161=5,"SIM","")</f>
        <v/>
      </c>
      <c r="P161" s="81">
        <f>A161&amp;B161&amp;C161&amp;E161&amp;G161&amp;EDATE(J161,0)</f>
        <v/>
      </c>
      <c r="Q161" s="71">
        <f>IF(A161=0,"",VLOOKUP($A161,RESUMO!$A$8:$B$83,2,FALSE))</f>
        <v/>
      </c>
    </row>
    <row r="162">
      <c r="A162" s="50" t="n">
        <v>45616</v>
      </c>
      <c r="B162" s="71" t="n">
        <v>5</v>
      </c>
      <c r="C162" s="48" t="inlineStr">
        <is>
          <t>17581836000634</t>
        </is>
      </c>
      <c r="D162" s="76" t="inlineStr">
        <is>
          <t>LOJA DO PAULO</t>
        </is>
      </c>
      <c r="E162" s="77" t="inlineStr">
        <is>
          <t>DISCO DE CORTE - NF 32400</t>
        </is>
      </c>
      <c r="G162" s="78" t="n">
        <v>700</v>
      </c>
      <c r="I162" s="78" t="n">
        <v>700</v>
      </c>
      <c r="J162" s="80" t="inlineStr">
        <is>
          <t>05/11/2024</t>
        </is>
      </c>
      <c r="K162" s="52" t="inlineStr">
        <is>
          <t>MAT</t>
        </is>
      </c>
      <c r="N162">
        <f>IF(ISERROR(SEARCH("NF",E162,1)),"NÃO","SIM")</f>
        <v/>
      </c>
      <c r="O162">
        <f>IF($B162=5,"SIM","")</f>
        <v/>
      </c>
      <c r="P162" s="81">
        <f>A162&amp;B162&amp;C162&amp;E162&amp;G162&amp;EDATE(J162,0)</f>
        <v/>
      </c>
      <c r="Q162" s="71">
        <f>IF(A162=0,"",VLOOKUP($A162,RESUMO!$A$8:$B$83,2,FALSE))</f>
        <v/>
      </c>
    </row>
    <row r="163">
      <c r="A163" s="50" t="n">
        <v>45616</v>
      </c>
      <c r="B163" s="71" t="n">
        <v>5</v>
      </c>
      <c r="C163" s="48" t="inlineStr">
        <is>
          <t>01980098603</t>
        </is>
      </c>
      <c r="D163" s="76" t="inlineStr">
        <is>
          <t>LUCAS CATALUNHA DA SILVA</t>
        </is>
      </c>
      <c r="E163" s="77" t="inlineStr">
        <is>
          <t>VT E CAFÉ</t>
        </is>
      </c>
      <c r="G163" s="78" t="n">
        <v>761.6</v>
      </c>
      <c r="I163" s="78" t="n">
        <v>761.6</v>
      </c>
      <c r="J163" s="80" t="inlineStr">
        <is>
          <t>05/11/2024</t>
        </is>
      </c>
      <c r="K163" s="52" t="inlineStr">
        <is>
          <t>MO</t>
        </is>
      </c>
      <c r="N163">
        <f>IF(ISERROR(SEARCH("NF",E163,1)),"NÃO","SIM")</f>
        <v/>
      </c>
      <c r="O163">
        <f>IF($B163=5,"SIM","")</f>
        <v/>
      </c>
      <c r="P163" s="81">
        <f>A163&amp;B163&amp;C163&amp;E163&amp;G163&amp;EDATE(J163,0)</f>
        <v/>
      </c>
      <c r="Q163" s="71">
        <f>IF(A163=0,"",VLOOKUP($A163,RESUMO!$A$8:$B$83,2,FALSE))</f>
        <v/>
      </c>
    </row>
    <row r="164">
      <c r="A164" s="50" t="n">
        <v>45616</v>
      </c>
      <c r="B164" s="71" t="n">
        <v>5</v>
      </c>
      <c r="C164" s="48" t="inlineStr">
        <is>
          <t>12312366630</t>
        </is>
      </c>
      <c r="D164" s="76" t="inlineStr">
        <is>
          <t>MARCOS VIANA FREITAS</t>
        </is>
      </c>
      <c r="E164" s="77" t="inlineStr">
        <is>
          <t>VT E CAFÉ</t>
        </is>
      </c>
      <c r="G164" s="78" t="n">
        <v>703.8</v>
      </c>
      <c r="I164" s="78" t="n">
        <v>703.8</v>
      </c>
      <c r="J164" s="80" t="inlineStr">
        <is>
          <t>05/11/2024</t>
        </is>
      </c>
      <c r="K164" s="52" t="inlineStr">
        <is>
          <t>MO</t>
        </is>
      </c>
      <c r="N164">
        <f>IF(ISERROR(SEARCH("NF",E164,1)),"NÃO","SIM")</f>
        <v/>
      </c>
      <c r="O164">
        <f>IF($B164=5,"SIM","")</f>
        <v/>
      </c>
      <c r="P164" s="81">
        <f>A164&amp;B164&amp;C164&amp;E164&amp;G164&amp;EDATE(J164,0)</f>
        <v/>
      </c>
      <c r="Q164" s="71">
        <f>IF(A164=0,"",VLOOKUP($A164,RESUMO!$A$8:$B$83,2,FALSE))</f>
        <v/>
      </c>
    </row>
    <row r="165">
      <c r="A165" s="50" t="n">
        <v>45616</v>
      </c>
      <c r="B165" s="71" t="n">
        <v>5</v>
      </c>
      <c r="C165" s="48" t="inlineStr">
        <is>
          <t>43828098000182</t>
        </is>
      </c>
      <c r="D165" s="76" t="inlineStr">
        <is>
          <t>MADESCOM MADEIREIRA</t>
        </is>
      </c>
      <c r="E165" s="77" t="inlineStr">
        <is>
          <t>MADEIRAS - NF 1476</t>
        </is>
      </c>
      <c r="G165" s="78" t="n">
        <v>17950</v>
      </c>
      <c r="I165" s="78" t="n">
        <v>17950</v>
      </c>
      <c r="J165" s="80" t="inlineStr">
        <is>
          <t>11/11/2024</t>
        </is>
      </c>
      <c r="K165" s="52" t="inlineStr">
        <is>
          <t>MAT</t>
        </is>
      </c>
      <c r="N165">
        <f>IF(ISERROR(SEARCH("NF",E165,1)),"NÃO","SIM")</f>
        <v/>
      </c>
      <c r="O165">
        <f>IF($B165=5,"SIM","")</f>
        <v/>
      </c>
      <c r="P165" s="81">
        <f>A165&amp;B165&amp;C165&amp;E165&amp;G165&amp;EDATE(J165,0)</f>
        <v/>
      </c>
      <c r="Q165" s="71">
        <f>IF(A165=0,"",VLOOKUP($A165,RESUMO!$A$8:$B$83,2,FALSE))</f>
        <v/>
      </c>
    </row>
    <row r="166">
      <c r="A166" s="50" t="n">
        <v>45616</v>
      </c>
      <c r="B166" s="71" t="n">
        <v>5</v>
      </c>
      <c r="C166" s="48" t="inlineStr">
        <is>
          <t>18850040000279</t>
        </is>
      </c>
      <c r="D166" s="76" t="inlineStr">
        <is>
          <t>CASA DAS LONAS LTDA</t>
        </is>
      </c>
      <c r="E166" s="77" t="inlineStr">
        <is>
          <t>LONA PRETA - NF 28872</t>
        </is>
      </c>
      <c r="G166" s="78" t="n">
        <v>1039</v>
      </c>
      <c r="I166" s="78" t="n">
        <v>1039</v>
      </c>
      <c r="J166" s="80" t="inlineStr">
        <is>
          <t>11/11/2024</t>
        </is>
      </c>
      <c r="K166" s="52" t="inlineStr">
        <is>
          <t>MAT</t>
        </is>
      </c>
      <c r="N166">
        <f>IF(ISERROR(SEARCH("NF",E166,1)),"NÃO","SIM")</f>
        <v/>
      </c>
      <c r="O166">
        <f>IF($B166=5,"SIM","")</f>
        <v/>
      </c>
      <c r="P166" s="81">
        <f>A166&amp;B166&amp;C166&amp;E166&amp;G166&amp;EDATE(J166,0)</f>
        <v/>
      </c>
      <c r="Q166" s="71">
        <f>IF(A166=0,"",VLOOKUP($A166,RESUMO!$A$8:$B$83,2,FALSE))</f>
        <v/>
      </c>
    </row>
    <row r="167">
      <c r="A167" s="50" t="n">
        <v>45616</v>
      </c>
      <c r="B167" s="71" t="n">
        <v>5</v>
      </c>
      <c r="C167" s="48" t="inlineStr">
        <is>
          <t>17581836000634</t>
        </is>
      </c>
      <c r="D167" s="76" t="inlineStr">
        <is>
          <t>LOJA DO PAULO</t>
        </is>
      </c>
      <c r="E167" s="77" t="inlineStr">
        <is>
          <t>DISCO DESBASTE - NF 32283</t>
        </is>
      </c>
      <c r="G167" s="78" t="n">
        <v>167.8</v>
      </c>
      <c r="I167" s="78" t="n">
        <v>167.8</v>
      </c>
      <c r="J167" s="80" t="inlineStr">
        <is>
          <t>19/11/2024</t>
        </is>
      </c>
      <c r="K167" s="52" t="inlineStr">
        <is>
          <t>MAT</t>
        </is>
      </c>
      <c r="N167">
        <f>IF(ISERROR(SEARCH("NF",E167,1)),"NÃO","SIM")</f>
        <v/>
      </c>
      <c r="O167">
        <f>IF($B167=5,"SIM","")</f>
        <v/>
      </c>
      <c r="P167" s="81">
        <f>A167&amp;B167&amp;C167&amp;E167&amp;G167&amp;EDATE(J167,0)</f>
        <v/>
      </c>
      <c r="Q167" s="71">
        <f>IF(A167=0,"",VLOOKUP($A167,RESUMO!$A$8:$B$83,2,FALSE))</f>
        <v/>
      </c>
    </row>
    <row r="168">
      <c r="A168" s="50" t="n">
        <v>45616</v>
      </c>
      <c r="B168" s="71" t="n">
        <v>7</v>
      </c>
      <c r="C168" s="48" t="inlineStr">
        <is>
          <t>30104762000107</t>
        </is>
      </c>
      <c r="D168" s="76" t="inlineStr">
        <is>
          <t>VASCONCELOS &amp; RINALDI ENGENHARIA</t>
        </is>
      </c>
      <c r="E168" s="77" t="inlineStr">
        <is>
          <t>ADM 13% - NF A EMITIR</t>
        </is>
      </c>
      <c r="G168" s="78" t="n">
        <v>8379.52</v>
      </c>
      <c r="I168" s="78" t="n">
        <v>8379.52</v>
      </c>
      <c r="J168" s="80" t="inlineStr">
        <is>
          <t>19/11/2024</t>
        </is>
      </c>
      <c r="K168" s="52" t="inlineStr">
        <is>
          <t>ADM</t>
        </is>
      </c>
      <c r="L168" t="inlineStr">
        <is>
          <t>PIX: 30104762000107</t>
        </is>
      </c>
      <c r="N168">
        <f>IF(ISERROR(SEARCH("NF",E168,1)),"NÃO","SIM")</f>
        <v/>
      </c>
      <c r="O168">
        <f>IF($B168=5,"SIM","")</f>
        <v/>
      </c>
      <c r="P168" s="81">
        <f>A168&amp;B168&amp;C168&amp;E168&amp;G168&amp;EDATE(J168,0)</f>
        <v/>
      </c>
      <c r="Q168" s="71">
        <f>IF(A168=0,"",VLOOKUP($A168,RESUMO!$A$8:$B$83,2,FALSE))</f>
        <v/>
      </c>
    </row>
    <row r="169">
      <c r="A169" s="39" t="n">
        <v>45631</v>
      </c>
      <c r="B169" s="53" t="n">
        <v>1</v>
      </c>
      <c r="C169" t="inlineStr">
        <is>
          <t>00007573876670</t>
        </is>
      </c>
      <c r="D169" t="inlineStr">
        <is>
          <t>BRUNO JUNIO DA SILVA</t>
        </is>
      </c>
      <c r="E169" t="inlineStr">
        <is>
          <t>SALÁRIO</t>
        </is>
      </c>
      <c r="G169" s="78" t="n">
        <v>2480.11</v>
      </c>
      <c r="H169" t="n">
        <v>1</v>
      </c>
      <c r="I169" s="78" t="n">
        <v>2480.11</v>
      </c>
      <c r="J169" s="39" t="inlineStr">
        <is>
          <t>06/12/2024</t>
        </is>
      </c>
      <c r="K169" t="inlineStr">
        <is>
          <t>MO</t>
        </is>
      </c>
      <c r="L169" t="inlineStr">
        <is>
          <t>PIX: 07573876670</t>
        </is>
      </c>
      <c r="N169">
        <f>IF(ISERROR(SEARCH("NF",E169,1)),"NÃO","SIM")</f>
        <v/>
      </c>
      <c r="O169">
        <f>IF($B169=5,"SIM","")</f>
        <v/>
      </c>
      <c r="P169" s="81">
        <f>A169&amp;B169&amp;C169&amp;E169&amp;G169&amp;EDATE(J169,0)</f>
        <v/>
      </c>
      <c r="Q169" s="71">
        <f>IF(A169=0,"",VLOOKUP($A169,RESUMO!$A$8:$B$83,2,FALSE))</f>
        <v/>
      </c>
    </row>
    <row r="170">
      <c r="A170" s="39" t="n">
        <v>45631</v>
      </c>
      <c r="B170" s="53" t="n">
        <v>1</v>
      </c>
      <c r="C170" t="inlineStr">
        <is>
          <t>00007573876670</t>
        </is>
      </c>
      <c r="D170" t="inlineStr">
        <is>
          <t>BRUNO JUNIO DA SILVA</t>
        </is>
      </c>
      <c r="E170" t="inlineStr">
        <is>
          <t>TRANSPORTE</t>
        </is>
      </c>
      <c r="G170" s="78" t="n">
        <v>40.8</v>
      </c>
      <c r="H170" t="n">
        <v>18</v>
      </c>
      <c r="I170" s="78" t="n">
        <v>734.4</v>
      </c>
      <c r="J170" s="39" t="inlineStr">
        <is>
          <t>06/12/2024</t>
        </is>
      </c>
      <c r="K170" t="inlineStr">
        <is>
          <t>MO</t>
        </is>
      </c>
      <c r="L170" t="inlineStr">
        <is>
          <t>PIX: 07573876670</t>
        </is>
      </c>
      <c r="N170">
        <f>IF(ISERROR(SEARCH("NF",E170,1)),"NÃO","SIM")</f>
        <v/>
      </c>
      <c r="O170">
        <f>IF($B170=5,"SIM","")</f>
        <v/>
      </c>
      <c r="P170" s="81">
        <f>A170&amp;B170&amp;C170&amp;E170&amp;G170&amp;EDATE(J170,0)</f>
        <v/>
      </c>
      <c r="Q170" s="71">
        <f>IF(A170=0,"",VLOOKUP($A170,RESUMO!$A$8:$B$83,2,FALSE))</f>
        <v/>
      </c>
    </row>
    <row r="171">
      <c r="A171" s="39" t="n">
        <v>45631</v>
      </c>
      <c r="B171" s="53" t="n">
        <v>1</v>
      </c>
      <c r="C171" t="inlineStr">
        <is>
          <t>00007573876670</t>
        </is>
      </c>
      <c r="D171" t="inlineStr">
        <is>
          <t>BRUNO JUNIO DA SILVA</t>
        </is>
      </c>
      <c r="E171" t="inlineStr">
        <is>
          <t>CAFÉ</t>
        </is>
      </c>
      <c r="G171" s="78" t="n">
        <v>4</v>
      </c>
      <c r="H171" t="n">
        <v>18</v>
      </c>
      <c r="I171" s="78" t="n">
        <v>72</v>
      </c>
      <c r="J171" s="39" t="inlineStr">
        <is>
          <t>06/12/2024</t>
        </is>
      </c>
      <c r="K171" t="inlineStr">
        <is>
          <t>MO</t>
        </is>
      </c>
      <c r="L171" t="inlineStr">
        <is>
          <t>PIX: 07573876670</t>
        </is>
      </c>
      <c r="N171">
        <f>IF(ISERROR(SEARCH("NF",E171,1)),"NÃO","SIM")</f>
        <v/>
      </c>
      <c r="O171">
        <f>IF($B171=5,"SIM","")</f>
        <v/>
      </c>
      <c r="P171" s="81">
        <f>A171&amp;B171&amp;C171&amp;E171&amp;G171&amp;EDATE(J171,0)</f>
        <v/>
      </c>
      <c r="Q171" s="71">
        <f>IF(A171=0,"",VLOOKUP($A171,RESUMO!$A$8:$B$83,2,FALSE))</f>
        <v/>
      </c>
    </row>
    <row r="172">
      <c r="A172" s="39" t="n">
        <v>45631</v>
      </c>
      <c r="B172" s="53" t="n">
        <v>1</v>
      </c>
      <c r="C172" t="inlineStr">
        <is>
          <t>00000354432605</t>
        </is>
      </c>
      <c r="D172" t="inlineStr">
        <is>
          <t>ANTONIO DUTRA DE FREITAS</t>
        </is>
      </c>
      <c r="E172" t="inlineStr">
        <is>
          <t>SALÁRIO</t>
        </is>
      </c>
      <c r="G172" s="78" t="n">
        <v>1426.95</v>
      </c>
      <c r="H172" t="n">
        <v>1</v>
      </c>
      <c r="I172" s="78" t="n">
        <v>1426.95</v>
      </c>
      <c r="J172" s="39" t="inlineStr">
        <is>
          <t>06/12/2024</t>
        </is>
      </c>
      <c r="K172" t="inlineStr">
        <is>
          <t>MO</t>
        </is>
      </c>
      <c r="L172" t="inlineStr">
        <is>
          <t>PIX: 31982618378</t>
        </is>
      </c>
      <c r="N172">
        <f>IF(ISERROR(SEARCH("NF",E172,1)),"NÃO","SIM")</f>
        <v/>
      </c>
      <c r="O172">
        <f>IF($B172=5,"SIM","")</f>
        <v/>
      </c>
      <c r="P172" s="81">
        <f>A172&amp;B172&amp;C172&amp;E172&amp;G172&amp;EDATE(J172,0)</f>
        <v/>
      </c>
      <c r="Q172" s="71">
        <f>IF(A172=0,"",VLOOKUP($A172,RESUMO!$A$8:$B$83,2,FALSE))</f>
        <v/>
      </c>
    </row>
    <row r="173">
      <c r="A173" s="39" t="n">
        <v>45631</v>
      </c>
      <c r="B173" s="53" t="n">
        <v>1</v>
      </c>
      <c r="C173" t="inlineStr">
        <is>
          <t>00000354432605</t>
        </is>
      </c>
      <c r="D173" t="inlineStr">
        <is>
          <t>ANTONIO DUTRA DE FREITAS</t>
        </is>
      </c>
      <c r="E173" t="inlineStr">
        <is>
          <t>TRANSPORTE</t>
        </is>
      </c>
      <c r="G173" s="78" t="n">
        <v>40.8</v>
      </c>
      <c r="H173" t="n">
        <v>18</v>
      </c>
      <c r="I173" s="78" t="n">
        <v>734.4</v>
      </c>
      <c r="J173" s="39" t="inlineStr">
        <is>
          <t>06/12/2024</t>
        </is>
      </c>
      <c r="K173" t="inlineStr">
        <is>
          <t>MO</t>
        </is>
      </c>
      <c r="L173" t="inlineStr">
        <is>
          <t>PIX: 31982618378</t>
        </is>
      </c>
      <c r="N173">
        <f>IF(ISERROR(SEARCH("NF",E173,1)),"NÃO","SIM")</f>
        <v/>
      </c>
      <c r="O173">
        <f>IF($B173=5,"SIM","")</f>
        <v/>
      </c>
      <c r="P173" s="81">
        <f>A173&amp;B173&amp;C173&amp;E173&amp;G173&amp;EDATE(J173,0)</f>
        <v/>
      </c>
      <c r="Q173" s="71">
        <f>IF(A173=0,"",VLOOKUP($A173,RESUMO!$A$8:$B$83,2,FALSE))</f>
        <v/>
      </c>
    </row>
    <row r="174">
      <c r="A174" s="39" t="n">
        <v>45631</v>
      </c>
      <c r="B174" s="53" t="n">
        <v>1</v>
      </c>
      <c r="C174" t="inlineStr">
        <is>
          <t>00000354432605</t>
        </is>
      </c>
      <c r="D174" t="inlineStr">
        <is>
          <t>ANTONIO DUTRA DE FREITAS</t>
        </is>
      </c>
      <c r="E174" t="inlineStr">
        <is>
          <t>CAFÉ</t>
        </is>
      </c>
      <c r="G174" s="78" t="n">
        <v>4</v>
      </c>
      <c r="H174" t="n">
        <v>18</v>
      </c>
      <c r="I174" s="78" t="n">
        <v>72</v>
      </c>
      <c r="J174" s="39" t="inlineStr">
        <is>
          <t>06/12/2024</t>
        </is>
      </c>
      <c r="K174" t="inlineStr">
        <is>
          <t>MO</t>
        </is>
      </c>
      <c r="L174" t="inlineStr">
        <is>
          <t>PIX: 31982618378</t>
        </is>
      </c>
      <c r="N174">
        <f>IF(ISERROR(SEARCH("NF",E174,1)),"NÃO","SIM")</f>
        <v/>
      </c>
      <c r="O174">
        <f>IF($B174=5,"SIM","")</f>
        <v/>
      </c>
      <c r="P174" s="81">
        <f>A174&amp;B174&amp;C174&amp;E174&amp;G174&amp;EDATE(J174,0)</f>
        <v/>
      </c>
      <c r="Q174" s="71">
        <f>IF(A174=0,"",VLOOKUP($A174,RESUMO!$A$8:$B$83,2,FALSE))</f>
        <v/>
      </c>
    </row>
    <row r="175">
      <c r="A175" s="39" t="n">
        <v>45631</v>
      </c>
      <c r="B175" s="53" t="n">
        <v>1</v>
      </c>
      <c r="C175" t="inlineStr">
        <is>
          <t>00007249031600</t>
        </is>
      </c>
      <c r="D175" t="inlineStr">
        <is>
          <t>EDER PEREIRA DA SILVA</t>
        </is>
      </c>
      <c r="E175" t="inlineStr">
        <is>
          <t>SALÁRIO</t>
        </is>
      </c>
      <c r="G175" s="78" t="n">
        <v>1426.95</v>
      </c>
      <c r="H175" t="n">
        <v>1</v>
      </c>
      <c r="I175" s="78" t="n">
        <v>1426.95</v>
      </c>
      <c r="J175" s="39" t="inlineStr">
        <is>
          <t>06/12/2024</t>
        </is>
      </c>
      <c r="K175" t="inlineStr">
        <is>
          <t>MO</t>
        </is>
      </c>
      <c r="L175" t="inlineStr">
        <is>
          <t>PIX: 07249031600</t>
        </is>
      </c>
      <c r="N175">
        <f>IF(ISERROR(SEARCH("NF",E175,1)),"NÃO","SIM")</f>
        <v/>
      </c>
      <c r="O175">
        <f>IF($B175=5,"SIM","")</f>
        <v/>
      </c>
      <c r="P175" s="81">
        <f>A175&amp;B175&amp;C175&amp;E175&amp;G175&amp;EDATE(J175,0)</f>
        <v/>
      </c>
      <c r="Q175" s="71">
        <f>IF(A175=0,"",VLOOKUP($A175,RESUMO!$A$8:$B$83,2,FALSE))</f>
        <v/>
      </c>
    </row>
    <row r="176">
      <c r="A176" s="39" t="n">
        <v>45631</v>
      </c>
      <c r="B176" s="53" t="n">
        <v>1</v>
      </c>
      <c r="C176" t="inlineStr">
        <is>
          <t>00007249031600</t>
        </is>
      </c>
      <c r="D176" t="inlineStr">
        <is>
          <t>EDER PEREIRA DA SILVA</t>
        </is>
      </c>
      <c r="E176" t="inlineStr">
        <is>
          <t>TRANSPORTE</t>
        </is>
      </c>
      <c r="G176" s="78" t="n">
        <v>40.8</v>
      </c>
      <c r="H176" t="n">
        <v>18</v>
      </c>
      <c r="I176" s="78" t="n">
        <v>734.4</v>
      </c>
      <c r="J176" s="39" t="inlineStr">
        <is>
          <t>06/12/2024</t>
        </is>
      </c>
      <c r="K176" t="inlineStr">
        <is>
          <t>MO</t>
        </is>
      </c>
      <c r="L176" t="inlineStr">
        <is>
          <t>PIX: 07249031600</t>
        </is>
      </c>
      <c r="N176">
        <f>IF(ISERROR(SEARCH("NF",E176,1)),"NÃO","SIM")</f>
        <v/>
      </c>
      <c r="O176">
        <f>IF($B176=5,"SIM","")</f>
        <v/>
      </c>
      <c r="P176" s="81">
        <f>A176&amp;B176&amp;C176&amp;E176&amp;G176&amp;EDATE(J176,0)</f>
        <v/>
      </c>
      <c r="Q176" s="71">
        <f>IF(A176=0,"",VLOOKUP($A176,RESUMO!$A$8:$B$83,2,FALSE))</f>
        <v/>
      </c>
    </row>
    <row r="177">
      <c r="A177" s="39" t="n">
        <v>45631</v>
      </c>
      <c r="B177" s="53" t="n">
        <v>1</v>
      </c>
      <c r="C177" t="inlineStr">
        <is>
          <t>00007249031600</t>
        </is>
      </c>
      <c r="D177" t="inlineStr">
        <is>
          <t>EDER PEREIRA DA SILVA</t>
        </is>
      </c>
      <c r="E177" t="inlineStr">
        <is>
          <t>CAFÉ</t>
        </is>
      </c>
      <c r="G177" s="78" t="n">
        <v>4</v>
      </c>
      <c r="H177" t="n">
        <v>18</v>
      </c>
      <c r="I177" s="78" t="n">
        <v>72</v>
      </c>
      <c r="J177" s="39" t="inlineStr">
        <is>
          <t>06/12/2024</t>
        </is>
      </c>
      <c r="K177" t="inlineStr">
        <is>
          <t>MO</t>
        </is>
      </c>
      <c r="L177" t="inlineStr">
        <is>
          <t>PIX: 07249031600</t>
        </is>
      </c>
      <c r="N177">
        <f>IF(ISERROR(SEARCH("NF",E177,1)),"NÃO","SIM")</f>
        <v/>
      </c>
      <c r="O177">
        <f>IF($B177=5,"SIM","")</f>
        <v/>
      </c>
      <c r="P177" s="81">
        <f>A177&amp;B177&amp;C177&amp;E177&amp;G177&amp;EDATE(J177,0)</f>
        <v/>
      </c>
      <c r="Q177" s="71">
        <f>IF(A177=0,"",VLOOKUP($A177,RESUMO!$A$8:$B$83,2,FALSE))</f>
        <v/>
      </c>
    </row>
    <row r="178">
      <c r="A178" s="39" t="n">
        <v>45631</v>
      </c>
      <c r="B178" s="53" t="n">
        <v>1</v>
      </c>
      <c r="C178" t="inlineStr">
        <is>
          <t>00014758063613</t>
        </is>
      </c>
      <c r="D178" t="inlineStr">
        <is>
          <t>IZAEL BISPO OLIVEIRA</t>
        </is>
      </c>
      <c r="E178" t="inlineStr">
        <is>
          <t>SALÁRIO</t>
        </is>
      </c>
      <c r="G178" s="78" t="n">
        <v>1426.95</v>
      </c>
      <c r="H178" t="n">
        <v>1</v>
      </c>
      <c r="I178" s="78" t="n">
        <v>1426.95</v>
      </c>
      <c r="J178" s="39" t="inlineStr">
        <is>
          <t>06/12/2024</t>
        </is>
      </c>
      <c r="K178" t="inlineStr">
        <is>
          <t>MO</t>
        </is>
      </c>
      <c r="L178" t="inlineStr">
        <is>
          <t>PIX: 14758063613</t>
        </is>
      </c>
      <c r="N178">
        <f>IF(ISERROR(SEARCH("NF",E178,1)),"NÃO","SIM")</f>
        <v/>
      </c>
      <c r="O178">
        <f>IF($B178=5,"SIM","")</f>
        <v/>
      </c>
      <c r="P178" s="81">
        <f>A178&amp;B178&amp;C178&amp;E178&amp;G178&amp;EDATE(J178,0)</f>
        <v/>
      </c>
      <c r="Q178" s="71">
        <f>IF(A178=0,"",VLOOKUP($A178,RESUMO!$A$8:$B$83,2,FALSE))</f>
        <v/>
      </c>
    </row>
    <row r="179">
      <c r="A179" s="39" t="n">
        <v>45631</v>
      </c>
      <c r="B179" s="53" t="n">
        <v>1</v>
      </c>
      <c r="C179" t="inlineStr">
        <is>
          <t>00014758063613</t>
        </is>
      </c>
      <c r="D179" t="inlineStr">
        <is>
          <t>IZAEL BISPO OLIVEIRA</t>
        </is>
      </c>
      <c r="E179" t="inlineStr">
        <is>
          <t>TRANSPORTE</t>
        </is>
      </c>
      <c r="G179" s="78" t="n">
        <v>42.3</v>
      </c>
      <c r="H179" t="n">
        <v>16</v>
      </c>
      <c r="I179" s="78" t="n">
        <v>676.8</v>
      </c>
      <c r="J179" s="39" t="inlineStr">
        <is>
          <t>06/12/2024</t>
        </is>
      </c>
      <c r="K179" t="inlineStr">
        <is>
          <t>MO</t>
        </is>
      </c>
      <c r="L179" t="inlineStr">
        <is>
          <t>PIX: 14758063613</t>
        </is>
      </c>
      <c r="N179">
        <f>IF(ISERROR(SEARCH("NF",E179,1)),"NÃO","SIM")</f>
        <v/>
      </c>
      <c r="O179">
        <f>IF($B179=5,"SIM","")</f>
        <v/>
      </c>
      <c r="P179" s="81">
        <f>A179&amp;B179&amp;C179&amp;E179&amp;G179&amp;EDATE(J179,0)</f>
        <v/>
      </c>
      <c r="Q179" s="71">
        <f>IF(A179=0,"",VLOOKUP($A179,RESUMO!$A$8:$B$83,2,FALSE))</f>
        <v/>
      </c>
    </row>
    <row r="180">
      <c r="A180" s="39" t="n">
        <v>45631</v>
      </c>
      <c r="B180" s="53" t="n">
        <v>1</v>
      </c>
      <c r="C180" t="inlineStr">
        <is>
          <t>00014758063613</t>
        </is>
      </c>
      <c r="D180" t="inlineStr">
        <is>
          <t>IZAEL BISPO OLIVEIRA</t>
        </is>
      </c>
      <c r="E180" t="inlineStr">
        <is>
          <t>CAFÉ</t>
        </is>
      </c>
      <c r="G180" s="78" t="n">
        <v>4</v>
      </c>
      <c r="H180" t="n">
        <v>16</v>
      </c>
      <c r="I180" s="78" t="n">
        <v>64</v>
      </c>
      <c r="J180" s="39" t="inlineStr">
        <is>
          <t>06/12/2024</t>
        </is>
      </c>
      <c r="K180" t="inlineStr">
        <is>
          <t>MO</t>
        </is>
      </c>
      <c r="L180" t="inlineStr">
        <is>
          <t>PIX: 14758063613</t>
        </is>
      </c>
      <c r="N180">
        <f>IF(ISERROR(SEARCH("NF",E180,1)),"NÃO","SIM")</f>
        <v/>
      </c>
      <c r="O180">
        <f>IF($B180=5,"SIM","")</f>
        <v/>
      </c>
      <c r="P180" s="81">
        <f>A180&amp;B180&amp;C180&amp;E180&amp;G180&amp;EDATE(J180,0)</f>
        <v/>
      </c>
      <c r="Q180" s="71">
        <f>IF(A180=0,"",VLOOKUP($A180,RESUMO!$A$8:$B$83,2,FALSE))</f>
        <v/>
      </c>
    </row>
    <row r="181">
      <c r="A181" s="39" t="n">
        <v>45631</v>
      </c>
      <c r="B181" s="53" t="n">
        <v>1</v>
      </c>
      <c r="C181" t="inlineStr">
        <is>
          <t>00085086894387</t>
        </is>
      </c>
      <c r="D181" t="inlineStr">
        <is>
          <t>ROBERVAL PORTACIO DOS SANTOS</t>
        </is>
      </c>
      <c r="E181" t="inlineStr">
        <is>
          <t>SALÁRIO</t>
        </is>
      </c>
      <c r="G181" s="78" t="n">
        <v>840.75</v>
      </c>
      <c r="H181" t="n">
        <v>1</v>
      </c>
      <c r="I181" s="78" t="n">
        <v>840.75</v>
      </c>
      <c r="J181" s="39" t="inlineStr">
        <is>
          <t>06/12/2024</t>
        </is>
      </c>
      <c r="K181" t="inlineStr">
        <is>
          <t>MO</t>
        </is>
      </c>
      <c r="L181" t="inlineStr">
        <is>
          <t>PIX: 31971706400</t>
        </is>
      </c>
      <c r="N181">
        <f>IF(ISERROR(SEARCH("NF",E181,1)),"NÃO","SIM")</f>
        <v/>
      </c>
      <c r="O181">
        <f>IF($B181=5,"SIM","")</f>
        <v/>
      </c>
      <c r="P181" s="81">
        <f>A181&amp;B181&amp;C181&amp;E181&amp;G181&amp;EDATE(J181,0)</f>
        <v/>
      </c>
      <c r="Q181" s="71">
        <f>IF(A181=0,"",VLOOKUP($A181,RESUMO!$A$8:$B$83,2,FALSE))</f>
        <v/>
      </c>
    </row>
    <row r="182">
      <c r="A182" s="39" t="n">
        <v>45631</v>
      </c>
      <c r="B182" s="53" t="n">
        <v>1</v>
      </c>
      <c r="C182" t="inlineStr">
        <is>
          <t>00085086894387</t>
        </is>
      </c>
      <c r="D182" t="inlineStr">
        <is>
          <t>ROBERVAL PORTACIO DOS SANTOS</t>
        </is>
      </c>
      <c r="E182" t="inlineStr">
        <is>
          <t>TRANSPORTE</t>
        </is>
      </c>
      <c r="G182" s="78" t="n">
        <v>40.8</v>
      </c>
      <c r="H182" t="n">
        <v>18</v>
      </c>
      <c r="I182" s="78" t="n">
        <v>734.4</v>
      </c>
      <c r="J182" s="39" t="inlineStr">
        <is>
          <t>06/12/2024</t>
        </is>
      </c>
      <c r="K182" t="inlineStr">
        <is>
          <t>MO</t>
        </is>
      </c>
      <c r="L182" t="inlineStr">
        <is>
          <t>PIX: 31971706400</t>
        </is>
      </c>
      <c r="N182">
        <f>IF(ISERROR(SEARCH("NF",E182,1)),"NÃO","SIM")</f>
        <v/>
      </c>
      <c r="O182">
        <f>IF($B182=5,"SIM","")</f>
        <v/>
      </c>
      <c r="P182" s="81">
        <f>A182&amp;B182&amp;C182&amp;E182&amp;G182&amp;EDATE(J182,0)</f>
        <v/>
      </c>
      <c r="Q182" s="71">
        <f>IF(A182=0,"",VLOOKUP($A182,RESUMO!$A$8:$B$83,2,FALSE))</f>
        <v/>
      </c>
    </row>
    <row r="183">
      <c r="A183" s="39" t="n">
        <v>45631</v>
      </c>
      <c r="B183" s="53" t="n">
        <v>1</v>
      </c>
      <c r="C183" t="inlineStr">
        <is>
          <t>00085086894387</t>
        </is>
      </c>
      <c r="D183" t="inlineStr">
        <is>
          <t>ROBERVAL PORTACIO DOS SANTOS</t>
        </is>
      </c>
      <c r="E183" t="inlineStr">
        <is>
          <t>CAFÉ</t>
        </is>
      </c>
      <c r="G183" s="78" t="n">
        <v>4</v>
      </c>
      <c r="H183" t="n">
        <v>18</v>
      </c>
      <c r="I183" s="78" t="n">
        <v>72</v>
      </c>
      <c r="J183" s="39" t="inlineStr">
        <is>
          <t>06/12/2024</t>
        </is>
      </c>
      <c r="K183" t="inlineStr">
        <is>
          <t>MO</t>
        </is>
      </c>
      <c r="L183" t="inlineStr">
        <is>
          <t>PIX: 31971706400</t>
        </is>
      </c>
      <c r="N183">
        <f>IF(ISERROR(SEARCH("NF",E183,1)),"NÃO","SIM")</f>
        <v/>
      </c>
      <c r="O183">
        <f>IF($B183=5,"SIM","")</f>
        <v/>
      </c>
      <c r="P183" s="81">
        <f>A183&amp;B183&amp;C183&amp;E183&amp;G183&amp;EDATE(J183,0)</f>
        <v/>
      </c>
      <c r="Q183" s="71">
        <f>IF(A183=0,"",VLOOKUP($A183,RESUMO!$A$8:$B$83,2,FALSE))</f>
        <v/>
      </c>
    </row>
    <row r="184">
      <c r="A184" s="39" t="n">
        <v>45631</v>
      </c>
      <c r="B184" s="53" t="n">
        <v>1</v>
      </c>
      <c r="C184" t="inlineStr">
        <is>
          <t>00087942119653</t>
        </is>
      </c>
      <c r="D184" t="inlineStr">
        <is>
          <t>DOMINGOS DA SILVA LIMA</t>
        </is>
      </c>
      <c r="E184" t="inlineStr">
        <is>
          <t>SALÁRIO</t>
        </is>
      </c>
      <c r="G184" s="78" t="n">
        <v>840.75</v>
      </c>
      <c r="H184" t="n">
        <v>1</v>
      </c>
      <c r="I184" s="78" t="n">
        <v>840.75</v>
      </c>
      <c r="J184" s="39" t="inlineStr">
        <is>
          <t>06/12/2024</t>
        </is>
      </c>
      <c r="K184" t="inlineStr">
        <is>
          <t>MO</t>
        </is>
      </c>
      <c r="L184" t="inlineStr">
        <is>
          <t>CEF 13 - 892 00113057-1</t>
        </is>
      </c>
      <c r="N184">
        <f>IF(ISERROR(SEARCH("NF",E184,1)),"NÃO","SIM")</f>
        <v/>
      </c>
      <c r="O184">
        <f>IF($B184=5,"SIM","")</f>
        <v/>
      </c>
      <c r="P184" s="81">
        <f>A184&amp;B184&amp;C184&amp;E184&amp;G184&amp;EDATE(J184,0)</f>
        <v/>
      </c>
      <c r="Q184" s="71">
        <f>IF(A184=0,"",VLOOKUP($A184,RESUMO!$A$8:$B$83,2,FALSE))</f>
        <v/>
      </c>
    </row>
    <row r="185">
      <c r="A185" s="39" t="n">
        <v>45631</v>
      </c>
      <c r="B185" s="53" t="n">
        <v>1</v>
      </c>
      <c r="C185" t="inlineStr">
        <is>
          <t>00087942119653</t>
        </is>
      </c>
      <c r="D185" t="inlineStr">
        <is>
          <t>DOMINGOS DA SILVA LIMA</t>
        </is>
      </c>
      <c r="E185" t="inlineStr">
        <is>
          <t>TRANSPORTE</t>
        </is>
      </c>
      <c r="G185" s="78" t="n">
        <v>40.8</v>
      </c>
      <c r="H185" t="n">
        <v>17</v>
      </c>
      <c r="I185" s="78" t="n">
        <v>693.6</v>
      </c>
      <c r="J185" s="39" t="inlineStr">
        <is>
          <t>06/12/2024</t>
        </is>
      </c>
      <c r="K185" t="inlineStr">
        <is>
          <t>MO</t>
        </is>
      </c>
      <c r="L185" t="inlineStr">
        <is>
          <t>CEF 13 - 892 00113057-1</t>
        </is>
      </c>
      <c r="N185">
        <f>IF(ISERROR(SEARCH("NF",E185,1)),"NÃO","SIM")</f>
        <v/>
      </c>
      <c r="O185">
        <f>IF($B185=5,"SIM","")</f>
        <v/>
      </c>
      <c r="P185" s="81">
        <f>A185&amp;B185&amp;C185&amp;E185&amp;G185&amp;EDATE(J185,0)</f>
        <v/>
      </c>
      <c r="Q185" s="71">
        <f>IF(A185=0,"",VLOOKUP($A185,RESUMO!$A$8:$B$83,2,FALSE))</f>
        <v/>
      </c>
    </row>
    <row r="186">
      <c r="A186" s="39" t="n">
        <v>45631</v>
      </c>
      <c r="B186" s="53" t="n">
        <v>1</v>
      </c>
      <c r="C186" t="inlineStr">
        <is>
          <t>00087942119653</t>
        </is>
      </c>
      <c r="D186" t="inlineStr">
        <is>
          <t>DOMINGOS DA SILVA LIMA</t>
        </is>
      </c>
      <c r="E186" t="inlineStr">
        <is>
          <t>CAFÉ</t>
        </is>
      </c>
      <c r="G186" s="78" t="n">
        <v>4</v>
      </c>
      <c r="H186" t="n">
        <v>17</v>
      </c>
      <c r="I186" s="78" t="n">
        <v>68</v>
      </c>
      <c r="J186" s="39" t="inlineStr">
        <is>
          <t>06/12/2024</t>
        </is>
      </c>
      <c r="K186" t="inlineStr">
        <is>
          <t>MO</t>
        </is>
      </c>
      <c r="L186" t="inlineStr">
        <is>
          <t>CEF 13 - 892 00113057-1</t>
        </is>
      </c>
      <c r="N186">
        <f>IF(ISERROR(SEARCH("NF",E186,1)),"NÃO","SIM")</f>
        <v/>
      </c>
      <c r="O186">
        <f>IF($B186=5,"SIM","")</f>
        <v/>
      </c>
      <c r="P186" s="81">
        <f>A186&amp;B186&amp;C186&amp;E186&amp;G186&amp;EDATE(J186,0)</f>
        <v/>
      </c>
      <c r="Q186" s="71">
        <f>IF(A186=0,"",VLOOKUP($A186,RESUMO!$A$8:$B$83,2,FALSE))</f>
        <v/>
      </c>
    </row>
    <row r="187">
      <c r="A187" s="39" t="n">
        <v>45631</v>
      </c>
      <c r="B187" s="53" t="n">
        <v>1</v>
      </c>
      <c r="C187" t="inlineStr">
        <is>
          <t>00075746980315</t>
        </is>
      </c>
      <c r="D187" t="inlineStr">
        <is>
          <t>FRANCISCO REGO DA SILVA</t>
        </is>
      </c>
      <c r="E187" t="inlineStr">
        <is>
          <t>SALÁRIO</t>
        </is>
      </c>
      <c r="G187" s="78" t="n">
        <v>1189.08</v>
      </c>
      <c r="H187" t="n">
        <v>1</v>
      </c>
      <c r="I187" s="78" t="n">
        <v>1189.08</v>
      </c>
      <c r="J187" s="39" t="inlineStr">
        <is>
          <t>06/12/2024</t>
        </is>
      </c>
      <c r="K187" t="inlineStr">
        <is>
          <t>MO</t>
        </is>
      </c>
      <c r="L187" t="inlineStr">
        <is>
          <t>PIX: 75746980315</t>
        </is>
      </c>
      <c r="N187">
        <f>IF(ISERROR(SEARCH("NF",E187,1)),"NÃO","SIM")</f>
        <v/>
      </c>
      <c r="O187">
        <f>IF($B187=5,"SIM","")</f>
        <v/>
      </c>
      <c r="P187" s="81">
        <f>A187&amp;B187&amp;C187&amp;E187&amp;G187&amp;EDATE(J187,0)</f>
        <v/>
      </c>
      <c r="Q187" s="71">
        <f>IF(A187=0,"",VLOOKUP($A187,RESUMO!$A$8:$B$83,2,FALSE))</f>
        <v/>
      </c>
    </row>
    <row r="188">
      <c r="A188" s="39" t="n">
        <v>45631</v>
      </c>
      <c r="B188" s="53" t="n">
        <v>1</v>
      </c>
      <c r="C188" t="inlineStr">
        <is>
          <t>00075746980315</t>
        </is>
      </c>
      <c r="D188" t="inlineStr">
        <is>
          <t>FRANCISCO REGO DA SILVA</t>
        </is>
      </c>
      <c r="E188" t="inlineStr">
        <is>
          <t>TRANSPORTE</t>
        </is>
      </c>
      <c r="G188" s="78" t="n">
        <v>40.8</v>
      </c>
      <c r="H188" t="n">
        <v>17</v>
      </c>
      <c r="I188" s="78" t="n">
        <v>693.6</v>
      </c>
      <c r="J188" s="39" t="inlineStr">
        <is>
          <t>06/12/2024</t>
        </is>
      </c>
      <c r="K188" t="inlineStr">
        <is>
          <t>MO</t>
        </is>
      </c>
      <c r="L188" t="inlineStr">
        <is>
          <t>PIX: 75746980315</t>
        </is>
      </c>
      <c r="N188">
        <f>IF(ISERROR(SEARCH("NF",E188,1)),"NÃO","SIM")</f>
        <v/>
      </c>
      <c r="O188">
        <f>IF($B188=5,"SIM","")</f>
        <v/>
      </c>
      <c r="P188" s="81">
        <f>A188&amp;B188&amp;C188&amp;E188&amp;G188&amp;EDATE(J188,0)</f>
        <v/>
      </c>
      <c r="Q188" s="71">
        <f>IF(A188=0,"",VLOOKUP($A188,RESUMO!$A$8:$B$83,2,FALSE))</f>
        <v/>
      </c>
    </row>
    <row r="189">
      <c r="A189" s="39" t="n">
        <v>45631</v>
      </c>
      <c r="B189" s="53" t="n">
        <v>1</v>
      </c>
      <c r="C189" t="inlineStr">
        <is>
          <t>00075746980315</t>
        </is>
      </c>
      <c r="D189" t="inlineStr">
        <is>
          <t>FRANCISCO REGO DA SILVA</t>
        </is>
      </c>
      <c r="E189" t="inlineStr">
        <is>
          <t>CAFÉ</t>
        </is>
      </c>
      <c r="G189" s="78" t="n">
        <v>4</v>
      </c>
      <c r="H189" t="n">
        <v>17</v>
      </c>
      <c r="I189" s="78" t="n">
        <v>68</v>
      </c>
      <c r="J189" s="39" t="inlineStr">
        <is>
          <t>06/12/2024</t>
        </is>
      </c>
      <c r="K189" t="inlineStr">
        <is>
          <t>MO</t>
        </is>
      </c>
      <c r="L189" t="inlineStr">
        <is>
          <t>PIX: 75746980315</t>
        </is>
      </c>
      <c r="N189">
        <f>IF(ISERROR(SEARCH("NF",E189,1)),"NÃO","SIM")</f>
        <v/>
      </c>
      <c r="O189">
        <f>IF($B189=5,"SIM","")</f>
        <v/>
      </c>
      <c r="P189" s="81">
        <f>A189&amp;B189&amp;C189&amp;E189&amp;G189&amp;EDATE(J189,0)</f>
        <v/>
      </c>
      <c r="Q189" s="71">
        <f>IF(A189=0,"",VLOOKUP($A189,RESUMO!$A$8:$B$83,2,FALSE))</f>
        <v/>
      </c>
    </row>
    <row r="190">
      <c r="A190" s="39" t="n">
        <v>45631</v>
      </c>
      <c r="B190" s="53" t="n">
        <v>1</v>
      </c>
      <c r="C190" t="inlineStr">
        <is>
          <t>00012312366630</t>
        </is>
      </c>
      <c r="D190" t="inlineStr">
        <is>
          <t>MARCOS VIANA FREITAS</t>
        </is>
      </c>
      <c r="E190" t="inlineStr">
        <is>
          <t>SALÁRIO</t>
        </is>
      </c>
      <c r="G190" s="78" t="n">
        <v>49.56</v>
      </c>
      <c r="H190" t="n">
        <v>1</v>
      </c>
      <c r="I190" s="78" t="n">
        <v>49.56</v>
      </c>
      <c r="J190" s="39" t="inlineStr">
        <is>
          <t>06/12/2024</t>
        </is>
      </c>
      <c r="K190" t="inlineStr">
        <is>
          <t>MO</t>
        </is>
      </c>
      <c r="L190" t="inlineStr">
        <is>
          <t>PIX: mv483916@gmail.com</t>
        </is>
      </c>
      <c r="N190">
        <f>IF(ISERROR(SEARCH("NF",E190,1)),"NÃO","SIM")</f>
        <v/>
      </c>
      <c r="O190">
        <f>IF($B190=5,"SIM","")</f>
        <v/>
      </c>
      <c r="P190" s="81">
        <f>A190&amp;B190&amp;C190&amp;E190&amp;G190&amp;EDATE(J190,0)</f>
        <v/>
      </c>
      <c r="Q190" s="71">
        <f>IF(A190=0,"",VLOOKUP($A190,RESUMO!$A$8:$B$83,2,FALSE))</f>
        <v/>
      </c>
    </row>
    <row r="191">
      <c r="A191" s="39" t="n">
        <v>45631</v>
      </c>
      <c r="B191" s="53" t="n">
        <v>1</v>
      </c>
      <c r="C191" t="inlineStr">
        <is>
          <t>00001980098603</t>
        </is>
      </c>
      <c r="D191" t="inlineStr">
        <is>
          <t>LUCAS CATALUNHA DA SILVA</t>
        </is>
      </c>
      <c r="E191" t="inlineStr">
        <is>
          <t>SALÁRIO</t>
        </is>
      </c>
      <c r="G191" s="78" t="n">
        <v>731.1900000000001</v>
      </c>
      <c r="H191" t="n">
        <v>1</v>
      </c>
      <c r="I191" s="78" t="n">
        <v>731.1900000000001</v>
      </c>
      <c r="J191" s="39" t="inlineStr">
        <is>
          <t>06/12/2024</t>
        </is>
      </c>
      <c r="K191" t="inlineStr">
        <is>
          <t>MO</t>
        </is>
      </c>
      <c r="L191" t="inlineStr">
        <is>
          <t>PIX: 01980098603</t>
        </is>
      </c>
      <c r="N191">
        <f>IF(ISERROR(SEARCH("NF",E191,1)),"NÃO","SIM")</f>
        <v/>
      </c>
      <c r="O191">
        <f>IF($B191=5,"SIM","")</f>
        <v/>
      </c>
      <c r="P191" s="81">
        <f>A191&amp;B191&amp;C191&amp;E191&amp;G191&amp;EDATE(J191,0)</f>
        <v/>
      </c>
      <c r="Q191" s="71">
        <f>IF(A191=0,"",VLOOKUP($A191,RESUMO!$A$8:$B$83,2,FALSE))</f>
        <v/>
      </c>
    </row>
    <row r="192">
      <c r="A192" s="39" t="n">
        <v>45631</v>
      </c>
      <c r="B192" s="53" t="n">
        <v>1</v>
      </c>
      <c r="C192" t="inlineStr">
        <is>
          <t>00001980098603</t>
        </is>
      </c>
      <c r="D192" t="inlineStr">
        <is>
          <t>LUCAS CATALUNHA DA SILVA</t>
        </is>
      </c>
      <c r="E192" t="inlineStr">
        <is>
          <t>TRANSPORTE</t>
        </is>
      </c>
      <c r="G192" s="78" t="n">
        <v>40.8</v>
      </c>
      <c r="H192" t="n">
        <v>17</v>
      </c>
      <c r="I192" s="78" t="n">
        <v>693.6</v>
      </c>
      <c r="J192" s="39" t="inlineStr">
        <is>
          <t>06/12/2024</t>
        </is>
      </c>
      <c r="K192" t="inlineStr">
        <is>
          <t>MO</t>
        </is>
      </c>
      <c r="L192" t="inlineStr">
        <is>
          <t>PIX: 01980098603</t>
        </is>
      </c>
      <c r="N192">
        <f>IF(ISERROR(SEARCH("NF",E192,1)),"NÃO","SIM")</f>
        <v/>
      </c>
      <c r="O192">
        <f>IF($B192=5,"SIM","")</f>
        <v/>
      </c>
      <c r="P192" s="81">
        <f>A192&amp;B192&amp;C192&amp;E192&amp;G192&amp;EDATE(J192,0)</f>
        <v/>
      </c>
      <c r="Q192" s="71">
        <f>IF(A192=0,"",VLOOKUP($A192,RESUMO!$A$8:$B$83,2,FALSE))</f>
        <v/>
      </c>
    </row>
    <row r="193">
      <c r="A193" s="39" t="n">
        <v>45631</v>
      </c>
      <c r="B193" s="53" t="n">
        <v>1</v>
      </c>
      <c r="C193" t="inlineStr">
        <is>
          <t>00001980098603</t>
        </is>
      </c>
      <c r="D193" t="inlineStr">
        <is>
          <t>LUCAS CATALUNHA DA SILVA</t>
        </is>
      </c>
      <c r="E193" t="inlineStr">
        <is>
          <t>CAFÉ</t>
        </is>
      </c>
      <c r="G193" s="78" t="n">
        <v>4</v>
      </c>
      <c r="H193" t="n">
        <v>17</v>
      </c>
      <c r="I193" s="78" t="n">
        <v>68</v>
      </c>
      <c r="J193" s="39" t="inlineStr">
        <is>
          <t>06/12/2024</t>
        </is>
      </c>
      <c r="K193" t="inlineStr">
        <is>
          <t>MO</t>
        </is>
      </c>
      <c r="L193" t="inlineStr">
        <is>
          <t>PIX: 01980098603</t>
        </is>
      </c>
      <c r="N193">
        <f>IF(ISERROR(SEARCH("NF",E193,1)),"NÃO","SIM")</f>
        <v/>
      </c>
      <c r="O193">
        <f>IF($B193=5,"SIM","")</f>
        <v/>
      </c>
      <c r="P193" s="81">
        <f>A193&amp;B193&amp;C193&amp;E193&amp;G193&amp;EDATE(J193,0)</f>
        <v/>
      </c>
      <c r="Q193" s="71">
        <f>IF(A193=0,"",VLOOKUP($A193,RESUMO!$A$8:$B$83,2,FALSE))</f>
        <v/>
      </c>
    </row>
    <row r="194">
      <c r="A194" s="39" t="n">
        <v>45631</v>
      </c>
      <c r="B194" s="53" t="n">
        <v>1</v>
      </c>
      <c r="C194" t="inlineStr">
        <is>
          <t>00036404993600</t>
        </is>
      </c>
      <c r="D194" t="inlineStr">
        <is>
          <t xml:space="preserve">NIVALDO DA SILVA </t>
        </is>
      </c>
      <c r="E194" t="inlineStr">
        <is>
          <t>DIÁRIA</t>
        </is>
      </c>
      <c r="G194" s="78" t="n">
        <v>270</v>
      </c>
      <c r="H194" t="n">
        <v>9</v>
      </c>
      <c r="I194" s="78" t="n">
        <v>2430</v>
      </c>
      <c r="J194" s="39" t="inlineStr">
        <is>
          <t>06/12/2024</t>
        </is>
      </c>
      <c r="K194" t="inlineStr">
        <is>
          <t>MO</t>
        </is>
      </c>
      <c r="L194" t="inlineStr">
        <is>
          <t>PIX: 36404993600</t>
        </is>
      </c>
      <c r="N194">
        <f>IF(ISERROR(SEARCH("NF",E194,1)),"NÃO","SIM")</f>
        <v/>
      </c>
      <c r="O194">
        <f>IF($B194=5,"SIM","")</f>
        <v/>
      </c>
      <c r="P194" s="81">
        <f>A194&amp;B194&amp;C194&amp;E194&amp;G194&amp;EDATE(J194,0)</f>
        <v/>
      </c>
      <c r="Q194" s="71">
        <f>IF(A194=0,"",VLOOKUP($A194,RESUMO!$A$8:$B$83,2,FALSE))</f>
        <v/>
      </c>
    </row>
    <row r="195">
      <c r="A195" s="39" t="n">
        <v>45631</v>
      </c>
      <c r="B195" s="53" t="n">
        <v>2</v>
      </c>
      <c r="C195" t="inlineStr">
        <is>
          <t>07834753000141</t>
        </is>
      </c>
      <c r="D195" t="inlineStr">
        <is>
          <t>ANCORA PAPELARIA</t>
        </is>
      </c>
      <c r="E195" t="inlineStr">
        <is>
          <t>PLOTAGENS - NF A EMITIR</t>
        </is>
      </c>
      <c r="G195" s="78" t="n">
        <v>15</v>
      </c>
      <c r="H195" t="n">
        <v>1</v>
      </c>
      <c r="I195" s="78" t="n">
        <v>15</v>
      </c>
      <c r="J195" s="39" t="inlineStr">
        <is>
          <t>06/12/2024</t>
        </is>
      </c>
      <c r="K195" t="inlineStr">
        <is>
          <t>SERV</t>
        </is>
      </c>
      <c r="L195" t="inlineStr">
        <is>
          <t>PIX: ancorapapelaria@gmail.com</t>
        </is>
      </c>
      <c r="N195">
        <f>IF(ISERROR(SEARCH("NF",E195,1)),"NÃO","SIM")</f>
        <v/>
      </c>
      <c r="O195">
        <f>IF($B195=5,"SIM","")</f>
        <v/>
      </c>
      <c r="P195" s="81">
        <f>A195&amp;B195&amp;C195&amp;E195&amp;G195&amp;EDATE(J195,0)</f>
        <v/>
      </c>
      <c r="Q195" s="71">
        <f>IF(A195=0,"",VLOOKUP($A195,RESUMO!$A$8:$B$83,2,FALSE))</f>
        <v/>
      </c>
    </row>
    <row r="196">
      <c r="A196" s="39" t="n">
        <v>45631</v>
      </c>
      <c r="B196" s="53" t="n">
        <v>2</v>
      </c>
      <c r="C196" t="inlineStr">
        <is>
          <t>00078068991620</t>
        </is>
      </c>
      <c r="D196" t="inlineStr">
        <is>
          <t xml:space="preserve">GERALDO LUCIANO FERREIRA </t>
        </is>
      </c>
      <c r="E196" t="inlineStr">
        <is>
          <t>ESCAVAÇÃO DE TUBULÃO</t>
        </is>
      </c>
      <c r="G196" s="78" t="n">
        <v>28355.2</v>
      </c>
      <c r="H196" t="n">
        <v>1</v>
      </c>
      <c r="I196" s="78" t="n">
        <v>28355.2</v>
      </c>
      <c r="J196" s="39" t="inlineStr">
        <is>
          <t>06/12/2024</t>
        </is>
      </c>
      <c r="K196" t="inlineStr">
        <is>
          <t>SERV</t>
        </is>
      </c>
      <c r="L196" t="inlineStr">
        <is>
          <t>ITAÚ  - 8562 37658</t>
        </is>
      </c>
      <c r="N196">
        <f>IF(ISERROR(SEARCH("NF",E196,1)),"NÃO","SIM")</f>
        <v/>
      </c>
      <c r="O196">
        <f>IF($B196=5,"SIM","")</f>
        <v/>
      </c>
      <c r="P196" s="81">
        <f>A196&amp;B196&amp;C196&amp;E196&amp;G196&amp;EDATE(J196,0)</f>
        <v/>
      </c>
      <c r="Q196" s="71">
        <f>IF(A196=0,"",VLOOKUP($A196,RESUMO!$A$8:$B$83,2,FALSE))</f>
        <v/>
      </c>
    </row>
    <row r="197">
      <c r="A197" s="39" t="n">
        <v>45631</v>
      </c>
      <c r="B197" s="53" t="n">
        <v>3</v>
      </c>
      <c r="C197" t="inlineStr">
        <is>
          <t>02697297000383</t>
        </is>
      </c>
      <c r="D197" t="inlineStr">
        <is>
          <t>UNIVERSO ELÉTRICO LTDA</t>
        </is>
      </c>
      <c r="E197" t="inlineStr">
        <is>
          <t>MATERIAIS DIVERSOS - NF 348766</t>
        </is>
      </c>
      <c r="G197" s="78" t="n">
        <v>931.1</v>
      </c>
      <c r="H197" t="n">
        <v>1</v>
      </c>
      <c r="I197" s="78" t="n">
        <v>931.1</v>
      </c>
      <c r="J197" s="39" t="n">
        <v>45646</v>
      </c>
      <c r="K197" t="inlineStr">
        <is>
          <t>MAT</t>
        </is>
      </c>
      <c r="L197" t="inlineStr">
        <is>
          <t>-</t>
        </is>
      </c>
      <c r="N197">
        <f>IF(ISERROR(SEARCH("NF",E197,1)),"NÃO","SIM")</f>
        <v/>
      </c>
      <c r="O197">
        <f>IF($B197=5,"SIM","")</f>
        <v/>
      </c>
      <c r="P197" s="81">
        <f>A197&amp;B197&amp;C197&amp;E197&amp;G197&amp;EDATE(J197,0)</f>
        <v/>
      </c>
      <c r="Q197" s="71">
        <f>IF(A197=0,"",VLOOKUP($A197,RESUMO!$A$8:$B$83,2,FALSE))</f>
        <v/>
      </c>
    </row>
    <row r="198">
      <c r="A198" s="39" t="n">
        <v>45631</v>
      </c>
      <c r="B198" s="53" t="n">
        <v>3</v>
      </c>
      <c r="C198" t="inlineStr">
        <is>
          <t>00000000011126</t>
        </is>
      </c>
      <c r="D198" t="inlineStr">
        <is>
          <t>MHS MENSALIDADE</t>
        </is>
      </c>
      <c r="E198" t="inlineStr">
        <is>
          <t>COMPETENCIA 11/2024</t>
        </is>
      </c>
      <c r="G198" s="78" t="n">
        <v>744</v>
      </c>
      <c r="H198" t="n">
        <v>1</v>
      </c>
      <c r="I198" s="78" t="n">
        <v>744</v>
      </c>
      <c r="J198" s="39" t="inlineStr">
        <is>
          <t>09/12/2024</t>
        </is>
      </c>
      <c r="K198" t="inlineStr">
        <is>
          <t>MO</t>
        </is>
      </c>
      <c r="L198" t="inlineStr">
        <is>
          <t>PIX: 31995901635</t>
        </is>
      </c>
      <c r="N198">
        <f>IF(ISERROR(SEARCH("NF",E198,1)),"NÃO","SIM")</f>
        <v/>
      </c>
      <c r="O198">
        <f>IF($B198=5,"SIM","")</f>
        <v/>
      </c>
      <c r="P198" s="81">
        <f>A198&amp;B198&amp;C198&amp;E198&amp;G198&amp;EDATE(J198,0)</f>
        <v/>
      </c>
      <c r="Q198" s="71">
        <f>IF(A198=0,"",VLOOKUP($A198,RESUMO!$A$8:$B$83,2,FALSE))</f>
        <v/>
      </c>
    </row>
    <row r="199">
      <c r="A199" s="39" t="n">
        <v>45631</v>
      </c>
      <c r="B199" s="53" t="n">
        <v>3</v>
      </c>
      <c r="C199" t="inlineStr">
        <is>
          <t>00000000011207</t>
        </is>
      </c>
      <c r="D199" t="inlineStr">
        <is>
          <t>MOTOBOY</t>
        </is>
      </c>
      <c r="E199" t="inlineStr">
        <is>
          <t>COMPETENCIA 11/2024</t>
        </is>
      </c>
      <c r="G199" s="78" t="n">
        <v>135</v>
      </c>
      <c r="H199" t="n">
        <v>1</v>
      </c>
      <c r="I199" s="78" t="n">
        <v>135</v>
      </c>
      <c r="J199" s="39" t="inlineStr">
        <is>
          <t>09/12/2024</t>
        </is>
      </c>
      <c r="K199" t="inlineStr">
        <is>
          <t>DIV</t>
        </is>
      </c>
      <c r="L199" t="inlineStr">
        <is>
          <t>PIX: 31995901635</t>
        </is>
      </c>
      <c r="N199">
        <f>IF(ISERROR(SEARCH("NF",E199,1)),"NÃO","SIM")</f>
        <v/>
      </c>
      <c r="O199">
        <f>IF($B199=5,"SIM","")</f>
        <v/>
      </c>
      <c r="P199" s="81">
        <f>A199&amp;B199&amp;C199&amp;E199&amp;G199&amp;EDATE(J199,0)</f>
        <v/>
      </c>
      <c r="Q199" s="71">
        <f>IF(A199=0,"",VLOOKUP($A199,RESUMO!$A$8:$B$83,2,FALSE))</f>
        <v/>
      </c>
    </row>
    <row r="200">
      <c r="A200" s="39" t="n">
        <v>45631</v>
      </c>
      <c r="B200" s="53" t="n">
        <v>3</v>
      </c>
      <c r="C200" t="inlineStr">
        <is>
          <t>00000000011398</t>
        </is>
      </c>
      <c r="D200" t="inlineStr">
        <is>
          <t>FOLHA DP</t>
        </is>
      </c>
      <c r="E200" t="inlineStr">
        <is>
          <t>COMPETENCIA 11/2024</t>
        </is>
      </c>
      <c r="G200" s="78" t="n">
        <v>847.2</v>
      </c>
      <c r="H200" t="n">
        <v>1</v>
      </c>
      <c r="I200" s="78" t="n">
        <v>847.2</v>
      </c>
      <c r="J200" s="39" t="inlineStr">
        <is>
          <t>09/12/2024</t>
        </is>
      </c>
      <c r="K200" t="inlineStr">
        <is>
          <t>MO</t>
        </is>
      </c>
      <c r="L200" t="inlineStr">
        <is>
          <t>PIX: 31995901635</t>
        </is>
      </c>
      <c r="N200">
        <f>IF(ISERROR(SEARCH("NF",E200,1)),"NÃO","SIM")</f>
        <v/>
      </c>
      <c r="O200">
        <f>IF($B200=5,"SIM","")</f>
        <v/>
      </c>
      <c r="P200" s="81">
        <f>A200&amp;B200&amp;C200&amp;E200&amp;G200&amp;EDATE(J200,0)</f>
        <v/>
      </c>
      <c r="Q200" s="71">
        <f>IF(A200=0,"",VLOOKUP($A200,RESUMO!$A$8:$B$83,2,FALSE))</f>
        <v/>
      </c>
    </row>
    <row r="201">
      <c r="A201" s="39" t="n">
        <v>45631</v>
      </c>
      <c r="B201" s="53" t="n">
        <v>3</v>
      </c>
      <c r="C201" t="inlineStr">
        <is>
          <t>97397491000198</t>
        </is>
      </c>
      <c r="D201" t="inlineStr">
        <is>
          <t>COMERCIAL ISO LTDA</t>
        </is>
      </c>
      <c r="E201" t="inlineStr">
        <is>
          <t>ESPAÇADOR - NF 61466</t>
        </is>
      </c>
      <c r="G201" s="78" t="n">
        <v>1100</v>
      </c>
      <c r="H201" t="n">
        <v>1</v>
      </c>
      <c r="I201" s="78" t="n">
        <v>1100</v>
      </c>
      <c r="J201" s="39" t="inlineStr">
        <is>
          <t>09/12/2024</t>
        </is>
      </c>
      <c r="K201" t="inlineStr">
        <is>
          <t>MAT</t>
        </is>
      </c>
      <c r="L201" t="inlineStr">
        <is>
          <t>-</t>
        </is>
      </c>
      <c r="N201">
        <f>IF(ISERROR(SEARCH("NF",E201,1)),"NÃO","SIM")</f>
        <v/>
      </c>
      <c r="O201">
        <f>IF($B201=5,"SIM","")</f>
        <v/>
      </c>
      <c r="P201" s="81">
        <f>A201&amp;B201&amp;C201&amp;E201&amp;G201&amp;EDATE(J201,0)</f>
        <v/>
      </c>
      <c r="Q201" s="71">
        <f>IF(A201=0,"",VLOOKUP($A201,RESUMO!$A$8:$B$83,2,FALSE))</f>
        <v/>
      </c>
    </row>
    <row r="202">
      <c r="A202" s="39" t="n">
        <v>45631</v>
      </c>
      <c r="B202" s="53" t="n">
        <v>3</v>
      </c>
      <c r="C202" t="inlineStr">
        <is>
          <t>17581836000634</t>
        </is>
      </c>
      <c r="D202" t="inlineStr">
        <is>
          <t>LOJA DO PAULO</t>
        </is>
      </c>
      <c r="E202" t="inlineStr">
        <is>
          <t>MATERIAIS DIVERSOS - NF 32563</t>
        </is>
      </c>
      <c r="G202" s="78" t="n">
        <v>755.5</v>
      </c>
      <c r="H202" t="n">
        <v>1</v>
      </c>
      <c r="I202" s="78" t="n">
        <v>755.5</v>
      </c>
      <c r="J202" s="39" t="inlineStr">
        <is>
          <t>09/12/2024</t>
        </is>
      </c>
      <c r="K202" t="inlineStr">
        <is>
          <t>MAT</t>
        </is>
      </c>
      <c r="L202" t="inlineStr">
        <is>
          <t>-</t>
        </is>
      </c>
      <c r="N202">
        <f>IF(ISERROR(SEARCH("NF",E202,1)),"NÃO","SIM")</f>
        <v/>
      </c>
      <c r="O202">
        <f>IF($B202=5,"SIM","")</f>
        <v/>
      </c>
      <c r="P202" s="81">
        <f>A202&amp;B202&amp;C202&amp;E202&amp;G202&amp;EDATE(J202,0)</f>
        <v/>
      </c>
      <c r="Q202" s="71">
        <f>IF(A202=0,"",VLOOKUP($A202,RESUMO!$A$8:$B$83,2,FALSE))</f>
        <v/>
      </c>
    </row>
    <row r="203">
      <c r="A203" s="39" t="n">
        <v>45631</v>
      </c>
      <c r="B203" s="53" t="n">
        <v>3</v>
      </c>
      <c r="C203" t="inlineStr">
        <is>
          <t>07409393000130</t>
        </is>
      </c>
      <c r="D203" t="inlineStr">
        <is>
          <t>LOCFER</t>
        </is>
      </c>
      <c r="E203" t="inlineStr">
        <is>
          <t>MARTELETE E BETONEIRA - NF 26776</t>
        </is>
      </c>
      <c r="G203" s="78" t="n">
        <v>555</v>
      </c>
      <c r="H203" t="n">
        <v>1</v>
      </c>
      <c r="I203" s="78" t="n">
        <v>555</v>
      </c>
      <c r="J203" s="39" t="inlineStr">
        <is>
          <t>11/12/2024</t>
        </is>
      </c>
      <c r="K203" t="inlineStr">
        <is>
          <t>LOC</t>
        </is>
      </c>
      <c r="L203" t="inlineStr">
        <is>
          <t>-</t>
        </is>
      </c>
      <c r="N203">
        <f>IF(ISERROR(SEARCH("NF",E203,1)),"NÃO","SIM")</f>
        <v/>
      </c>
      <c r="O203">
        <f>IF($B203=5,"SIM","")</f>
        <v/>
      </c>
      <c r="P203" s="81">
        <f>A203&amp;B203&amp;C203&amp;E203&amp;G203&amp;EDATE(J203,0)</f>
        <v/>
      </c>
      <c r="Q203" s="71">
        <f>IF(A203=0,"",VLOOKUP($A203,RESUMO!$A$8:$B$83,2,FALSE))</f>
        <v/>
      </c>
    </row>
    <row r="204">
      <c r="A204" s="39" t="n">
        <v>45631</v>
      </c>
      <c r="B204" s="53" t="n">
        <v>3</v>
      </c>
      <c r="C204" t="inlineStr">
        <is>
          <t>00000000011398</t>
        </is>
      </c>
      <c r="D204" t="inlineStr">
        <is>
          <t>FOLHA DP</t>
        </is>
      </c>
      <c r="E204" t="inlineStr">
        <is>
          <t>REF 13º SALÁRIO</t>
        </is>
      </c>
      <c r="G204" s="78" t="n">
        <v>847.2</v>
      </c>
      <c r="H204" t="n">
        <v>1</v>
      </c>
      <c r="I204" s="78" t="n">
        <v>847.2</v>
      </c>
      <c r="J204" s="39" t="inlineStr">
        <is>
          <t>13/12/2024</t>
        </is>
      </c>
      <c r="K204" t="inlineStr">
        <is>
          <t>MO</t>
        </is>
      </c>
      <c r="L204" t="inlineStr">
        <is>
          <t>PIX: 31995901635</t>
        </is>
      </c>
      <c r="N204">
        <f>IF(ISERROR(SEARCH("NF",E204,1)),"NÃO","SIM")</f>
        <v/>
      </c>
      <c r="O204">
        <f>IF($B204=5,"SIM","")</f>
        <v/>
      </c>
      <c r="P204" s="81">
        <f>A204&amp;B204&amp;C204&amp;E204&amp;G204&amp;EDATE(J204,0)</f>
        <v/>
      </c>
      <c r="Q204" s="71">
        <f>IF(A204=0,"",VLOOKUP($A204,RESUMO!$A$8:$B$83,2,FALSE))</f>
        <v/>
      </c>
    </row>
    <row r="205">
      <c r="A205" s="39" t="n">
        <v>45631</v>
      </c>
      <c r="B205" s="53" t="n">
        <v>3</v>
      </c>
      <c r="C205" t="inlineStr">
        <is>
          <t>07409393000130</t>
        </is>
      </c>
      <c r="D205" t="inlineStr">
        <is>
          <t>LOCFER</t>
        </is>
      </c>
      <c r="E205" t="inlineStr">
        <is>
          <t>MARTELO - NF 26840</t>
        </is>
      </c>
      <c r="G205" s="78" t="n">
        <v>960</v>
      </c>
      <c r="H205" t="n">
        <v>1</v>
      </c>
      <c r="I205" s="78" t="n">
        <v>960</v>
      </c>
      <c r="J205" s="39" t="inlineStr">
        <is>
          <t>17/12/2024</t>
        </is>
      </c>
      <c r="K205" t="inlineStr">
        <is>
          <t>LOC</t>
        </is>
      </c>
      <c r="L205" t="inlineStr">
        <is>
          <t>-</t>
        </is>
      </c>
      <c r="N205">
        <f>IF(ISERROR(SEARCH("NF",E205,1)),"NÃO","SIM")</f>
        <v/>
      </c>
      <c r="O205">
        <f>IF($B205=5,"SIM","")</f>
        <v/>
      </c>
      <c r="P205" s="81">
        <f>A205&amp;B205&amp;C205&amp;E205&amp;G205&amp;EDATE(J205,0)</f>
        <v/>
      </c>
      <c r="Q205" s="71">
        <f>IF(A205=0,"",VLOOKUP($A205,RESUMO!$A$8:$B$83,2,FALSE))</f>
        <v/>
      </c>
    </row>
    <row r="206">
      <c r="A206" s="39" t="n">
        <v>45631</v>
      </c>
      <c r="B206" s="53" t="n">
        <v>3</v>
      </c>
      <c r="C206" t="inlineStr">
        <is>
          <t>32994681000147</t>
        </is>
      </c>
      <c r="D206" t="inlineStr">
        <is>
          <t>FIÃO LOCAÇÕES E TRANSPORTES</t>
        </is>
      </c>
      <c r="E206" t="inlineStr">
        <is>
          <t>SERVIÇO DE TRANSPORTE - NF 2826</t>
        </is>
      </c>
      <c r="G206" s="78" t="n">
        <v>2000</v>
      </c>
      <c r="H206" t="n">
        <v>1</v>
      </c>
      <c r="I206" s="78" t="n">
        <v>2000</v>
      </c>
      <c r="J206" s="39" t="inlineStr">
        <is>
          <t>18/12/2024</t>
        </is>
      </c>
      <c r="K206" t="inlineStr">
        <is>
          <t>SERV</t>
        </is>
      </c>
      <c r="L206" t="inlineStr">
        <is>
          <t>-</t>
        </is>
      </c>
      <c r="N206">
        <f>IF(ISERROR(SEARCH("NF",E206,1)),"NÃO","SIM")</f>
        <v/>
      </c>
      <c r="O206">
        <f>IF($B206=5,"SIM","")</f>
        <v/>
      </c>
      <c r="P206" s="81">
        <f>A206&amp;B206&amp;C206&amp;E206&amp;G206&amp;EDATE(J206,0)</f>
        <v/>
      </c>
      <c r="Q206" s="71">
        <f>IF(A206=0,"",VLOOKUP($A206,RESUMO!$A$8:$B$83,2,FALSE))</f>
        <v/>
      </c>
    </row>
    <row r="207">
      <c r="A207" s="39" t="n">
        <v>45631</v>
      </c>
      <c r="B207" s="53" t="n">
        <v>3</v>
      </c>
      <c r="C207" t="inlineStr">
        <is>
          <t>97397491000198</t>
        </is>
      </c>
      <c r="D207" t="inlineStr">
        <is>
          <t>COMERCIAL ISO LTDA</t>
        </is>
      </c>
      <c r="E207" t="inlineStr">
        <is>
          <t>ESPAÇADOR -NF 61606</t>
        </is>
      </c>
      <c r="G207" s="78" t="n">
        <v>3750</v>
      </c>
      <c r="H207" t="n">
        <v>1</v>
      </c>
      <c r="I207" s="78" t="n">
        <v>3750</v>
      </c>
      <c r="J207" s="39" t="inlineStr">
        <is>
          <t>19/12/2024</t>
        </is>
      </c>
      <c r="K207" t="inlineStr">
        <is>
          <t>MAT</t>
        </is>
      </c>
      <c r="N207">
        <f>IF(ISERROR(SEARCH("NF",E207,1)),"NÃO","SIM")</f>
        <v/>
      </c>
      <c r="O207">
        <f>IF($B207=5,"SIM","")</f>
        <v/>
      </c>
      <c r="P207" s="81">
        <f>A207&amp;B207&amp;C207&amp;E207&amp;G207&amp;EDATE(J207,0)</f>
        <v/>
      </c>
      <c r="Q207" s="71">
        <f>IF(A207=0,"",VLOOKUP($A207,RESUMO!$A$8:$B$83,2,FALSE))</f>
        <v/>
      </c>
    </row>
    <row r="208">
      <c r="A208" s="39" t="n">
        <v>45631</v>
      </c>
      <c r="B208" s="53" t="n">
        <v>5</v>
      </c>
      <c r="C208" t="inlineStr">
        <is>
          <t>17469701000177</t>
        </is>
      </c>
      <c r="D208" t="inlineStr">
        <is>
          <t>ARCELORMITTAL BRASIL</t>
        </is>
      </c>
      <c r="E208" t="inlineStr">
        <is>
          <t>AÇO - NF 404228</t>
        </is>
      </c>
      <c r="G208" s="78" t="n">
        <v>40076.7</v>
      </c>
      <c r="H208" t="n">
        <v>1</v>
      </c>
      <c r="I208" s="78" t="n">
        <v>40076.7</v>
      </c>
      <c r="J208" s="39" t="inlineStr">
        <is>
          <t>27/12/2024</t>
        </is>
      </c>
      <c r="K208" t="inlineStr">
        <is>
          <t>MAT</t>
        </is>
      </c>
      <c r="L208" t="inlineStr">
        <is>
          <t>PIX: 17469701000177</t>
        </is>
      </c>
      <c r="N208">
        <f>IF(ISERROR(SEARCH("NF",E208,1)),"NÃO","SIM")</f>
        <v/>
      </c>
      <c r="O208">
        <f>IF($B208=5,"SIM","")</f>
        <v/>
      </c>
      <c r="P208" s="81">
        <f>A208&amp;B208&amp;C208&amp;E208&amp;G208&amp;EDATE(J208,0)</f>
        <v/>
      </c>
      <c r="Q208" s="71">
        <f>IF(A208=0,"",VLOOKUP($A208,RESUMO!$A$8:$B$83,2,FALSE))</f>
        <v/>
      </c>
    </row>
    <row r="209">
      <c r="A209" s="39" t="n">
        <v>45631</v>
      </c>
      <c r="B209" t="n">
        <v>7</v>
      </c>
      <c r="C209" t="inlineStr">
        <is>
          <t>30104762000107</t>
        </is>
      </c>
      <c r="D209" t="inlineStr">
        <is>
          <t>VASCONCELOS &amp; RINALDI ENGENHARIA</t>
        </is>
      </c>
      <c r="E209" t="inlineStr">
        <is>
          <t>ADM 13.0%</t>
        </is>
      </c>
      <c r="G209" s="78" t="n">
        <v>13021.5</v>
      </c>
      <c r="H209" t="n">
        <v>1</v>
      </c>
      <c r="I209" s="78" t="n">
        <v>13021.5</v>
      </c>
      <c r="J209" s="39" t="n">
        <v>45631</v>
      </c>
      <c r="K209" t="inlineStr">
        <is>
          <t>ADM</t>
        </is>
      </c>
      <c r="L209" t="inlineStr">
        <is>
          <t>PIX: 30104762000107</t>
        </is>
      </c>
      <c r="N209">
        <f>IF(ISERROR(SEARCH("NF",E209,1)),"NÃO","SIM")</f>
        <v/>
      </c>
      <c r="O209">
        <f>IF($B209=5,"SIM","")</f>
        <v/>
      </c>
      <c r="P209" s="81">
        <f>A209&amp;B209&amp;C209&amp;E209&amp;G209&amp;EDATE(J209,0)</f>
        <v/>
      </c>
      <c r="Q209" s="71">
        <f>IF(A209=0,"",VLOOKUP($A209,RESUMO!$A$8:$B$83,2,FALSE))</f>
        <v/>
      </c>
    </row>
    <row r="210">
      <c r="A210" s="39" t="n">
        <v>45646</v>
      </c>
      <c r="B210" s="53" t="n">
        <v>1</v>
      </c>
      <c r="C210" t="inlineStr">
        <is>
          <t>00007573876670</t>
        </is>
      </c>
      <c r="D210" t="inlineStr">
        <is>
          <t>BRUNO JUNIO DA SILVA</t>
        </is>
      </c>
      <c r="E210" t="inlineStr">
        <is>
          <t>SALÁRIO</t>
        </is>
      </c>
      <c r="G210" s="78" t="n">
        <v>2600</v>
      </c>
      <c r="H210" t="n">
        <v>1</v>
      </c>
      <c r="I210" s="78" t="n">
        <v>2600</v>
      </c>
      <c r="J210" s="39" t="inlineStr">
        <is>
          <t>20/12/2024</t>
        </is>
      </c>
      <c r="K210" t="inlineStr">
        <is>
          <t>MO</t>
        </is>
      </c>
      <c r="L210" t="inlineStr">
        <is>
          <t>PIX: 07573876670</t>
        </is>
      </c>
      <c r="N210">
        <f>IF(ISERROR(SEARCH("NF",E210,1)),"NÃO","SIM")</f>
        <v/>
      </c>
      <c r="O210">
        <f>IF($B210=5,"SIM","")</f>
        <v/>
      </c>
      <c r="P210" s="81">
        <f>A210&amp;B210&amp;C210&amp;E210&amp;G210&amp;EDATE(J210,0)</f>
        <v/>
      </c>
      <c r="Q210" s="71">
        <f>IF(A210=0,"",VLOOKUP($A210,RESUMO!$A$8:$B$83,2,FALSE))</f>
        <v/>
      </c>
    </row>
    <row r="211">
      <c r="A211" s="39" t="n">
        <v>45646</v>
      </c>
      <c r="B211" s="53" t="n">
        <v>1</v>
      </c>
      <c r="C211" t="inlineStr">
        <is>
          <t>00007573876670</t>
        </is>
      </c>
      <c r="D211" t="inlineStr">
        <is>
          <t>BRUNO JUNIO DA SILVA</t>
        </is>
      </c>
      <c r="E211" t="inlineStr">
        <is>
          <t>13º SALÁRIO</t>
        </is>
      </c>
      <c r="G211" s="78" t="n">
        <v>958.26</v>
      </c>
      <c r="H211" t="n">
        <v>1</v>
      </c>
      <c r="I211" s="78" t="n">
        <v>958.26</v>
      </c>
      <c r="J211" s="39" t="inlineStr">
        <is>
          <t>20/12/2024</t>
        </is>
      </c>
      <c r="K211" t="inlineStr">
        <is>
          <t>MO</t>
        </is>
      </c>
      <c r="L211" t="inlineStr">
        <is>
          <t>PIX: 07573876670</t>
        </is>
      </c>
      <c r="N211">
        <f>IF(ISERROR(SEARCH("NF",E211,1)),"NÃO","SIM")</f>
        <v/>
      </c>
      <c r="O211">
        <f>IF($B211=5,"SIM","")</f>
        <v/>
      </c>
      <c r="P211" s="81">
        <f>A211&amp;B211&amp;C211&amp;E211&amp;G211&amp;EDATE(J211,0)</f>
        <v/>
      </c>
      <c r="Q211" s="71">
        <f>IF(A211=0,"",VLOOKUP($A211,RESUMO!$A$8:$B$83,2,FALSE))</f>
        <v/>
      </c>
    </row>
    <row r="212">
      <c r="A212" s="39" t="n">
        <v>45646</v>
      </c>
      <c r="B212" s="53" t="n">
        <v>1</v>
      </c>
      <c r="C212" t="inlineStr">
        <is>
          <t>00000354432605</t>
        </is>
      </c>
      <c r="D212" t="inlineStr">
        <is>
          <t>ANTONIO DUTRA DE FREITAS</t>
        </is>
      </c>
      <c r="E212" t="inlineStr">
        <is>
          <t>SALÁRIO</t>
        </is>
      </c>
      <c r="G212" s="78" t="n">
        <v>1104.8</v>
      </c>
      <c r="H212" t="n">
        <v>1</v>
      </c>
      <c r="I212" s="78" t="n">
        <v>1104.8</v>
      </c>
      <c r="J212" s="39" t="inlineStr">
        <is>
          <t>20/12/2024</t>
        </is>
      </c>
      <c r="K212" t="inlineStr">
        <is>
          <t>MO</t>
        </is>
      </c>
      <c r="L212" t="inlineStr">
        <is>
          <t>PIX: 31982618378</t>
        </is>
      </c>
      <c r="N212">
        <f>IF(ISERROR(SEARCH("NF",E212,1)),"NÃO","SIM")</f>
        <v/>
      </c>
      <c r="O212">
        <f>IF($B212=5,"SIM","")</f>
        <v/>
      </c>
      <c r="P212" s="81">
        <f>A212&amp;B212&amp;C212&amp;E212&amp;G212&amp;EDATE(J212,0)</f>
        <v/>
      </c>
      <c r="Q212" s="71">
        <f>IF(A212=0,"",VLOOKUP($A212,RESUMO!$A$8:$B$83,2,FALSE))</f>
        <v/>
      </c>
    </row>
    <row r="213">
      <c r="A213" s="39" t="n">
        <v>45646</v>
      </c>
      <c r="B213" s="53" t="n">
        <v>1</v>
      </c>
      <c r="C213" t="inlineStr">
        <is>
          <t>00000354432605</t>
        </is>
      </c>
      <c r="D213" t="inlineStr">
        <is>
          <t>ANTONIO DUTRA DE FREITAS</t>
        </is>
      </c>
      <c r="E213" t="inlineStr">
        <is>
          <t>13º SALÁRIO</t>
        </is>
      </c>
      <c r="G213" s="78" t="n">
        <v>408.55</v>
      </c>
      <c r="H213" t="n">
        <v>1</v>
      </c>
      <c r="I213" s="78" t="n">
        <v>408.55</v>
      </c>
      <c r="J213" s="39" t="inlineStr">
        <is>
          <t>20/12/2024</t>
        </is>
      </c>
      <c r="K213" t="inlineStr">
        <is>
          <t>MO</t>
        </is>
      </c>
      <c r="L213" t="inlineStr">
        <is>
          <t>PIX: 31982618378</t>
        </is>
      </c>
      <c r="N213">
        <f>IF(ISERROR(SEARCH("NF",E213,1)),"NÃO","SIM")</f>
        <v/>
      </c>
      <c r="O213">
        <f>IF($B213=5,"SIM","")</f>
        <v/>
      </c>
      <c r="P213" s="81">
        <f>A213&amp;B213&amp;C213&amp;E213&amp;G213&amp;EDATE(J213,0)</f>
        <v/>
      </c>
      <c r="Q213" s="71">
        <f>IF(A213=0,"",VLOOKUP($A213,RESUMO!$A$8:$B$83,2,FALSE))</f>
        <v/>
      </c>
    </row>
    <row r="214">
      <c r="A214" s="39" t="n">
        <v>45646</v>
      </c>
      <c r="B214" s="53" t="n">
        <v>1</v>
      </c>
      <c r="C214" t="inlineStr">
        <is>
          <t>00007249031600</t>
        </is>
      </c>
      <c r="D214" t="inlineStr">
        <is>
          <t>EDER PEREIRA DA SILVA</t>
        </is>
      </c>
      <c r="E214" t="inlineStr">
        <is>
          <t>SALÁRIO</t>
        </is>
      </c>
      <c r="G214" s="78" t="n">
        <v>1104.8</v>
      </c>
      <c r="H214" t="n">
        <v>1</v>
      </c>
      <c r="I214" s="78" t="n">
        <v>1104.8</v>
      </c>
      <c r="J214" s="39" t="inlineStr">
        <is>
          <t>20/12/2024</t>
        </is>
      </c>
      <c r="K214" t="inlineStr">
        <is>
          <t>MO</t>
        </is>
      </c>
      <c r="L214" t="inlineStr">
        <is>
          <t>PIX: 07249031600</t>
        </is>
      </c>
      <c r="N214">
        <f>IF(ISERROR(SEARCH("NF",E214,1)),"NÃO","SIM")</f>
        <v/>
      </c>
      <c r="O214">
        <f>IF($B214=5,"SIM","")</f>
        <v/>
      </c>
      <c r="P214" s="81">
        <f>A214&amp;B214&amp;C214&amp;E214&amp;G214&amp;EDATE(J214,0)</f>
        <v/>
      </c>
      <c r="Q214" s="71">
        <f>IF(A214=0,"",VLOOKUP($A214,RESUMO!$A$8:$B$83,2,FALSE))</f>
        <v/>
      </c>
    </row>
    <row r="215">
      <c r="A215" s="39" t="n">
        <v>45646</v>
      </c>
      <c r="B215" s="53" t="n">
        <v>1</v>
      </c>
      <c r="C215" t="inlineStr">
        <is>
          <t>00007249031600</t>
        </is>
      </c>
      <c r="D215" t="inlineStr">
        <is>
          <t>EDER PEREIRA DA SILVA</t>
        </is>
      </c>
      <c r="E215" t="inlineStr">
        <is>
          <t>13º SALÁRIO</t>
        </is>
      </c>
      <c r="G215" s="78" t="n">
        <v>408.55</v>
      </c>
      <c r="H215" t="n">
        <v>1</v>
      </c>
      <c r="I215" s="78" t="n">
        <v>408.55</v>
      </c>
      <c r="J215" s="39" t="inlineStr">
        <is>
          <t>20/12/2024</t>
        </is>
      </c>
      <c r="K215" t="inlineStr">
        <is>
          <t>MO</t>
        </is>
      </c>
      <c r="L215" t="inlineStr">
        <is>
          <t>PIX: 07249031600</t>
        </is>
      </c>
      <c r="N215">
        <f>IF(ISERROR(SEARCH("NF",E215,1)),"NÃO","SIM")</f>
        <v/>
      </c>
      <c r="O215">
        <f>IF($B215=5,"SIM","")</f>
        <v/>
      </c>
      <c r="P215" s="81">
        <f>A215&amp;B215&amp;C215&amp;E215&amp;G215&amp;EDATE(J215,0)</f>
        <v/>
      </c>
      <c r="Q215" s="71">
        <f>IF(A215=0,"",VLOOKUP($A215,RESUMO!$A$8:$B$83,2,FALSE))</f>
        <v/>
      </c>
    </row>
    <row r="216">
      <c r="A216" s="39" t="n">
        <v>45646</v>
      </c>
      <c r="B216" s="53" t="n">
        <v>1</v>
      </c>
      <c r="C216" t="inlineStr">
        <is>
          <t>00014758063613</t>
        </is>
      </c>
      <c r="D216" t="inlineStr">
        <is>
          <t>IZAEL BISPO OLIVEIRA</t>
        </is>
      </c>
      <c r="E216" t="inlineStr">
        <is>
          <t>SALÁRIO</t>
        </is>
      </c>
      <c r="G216" s="78" t="n">
        <v>1104.8</v>
      </c>
      <c r="H216" t="n">
        <v>1</v>
      </c>
      <c r="I216" s="78" t="n">
        <v>1104.8</v>
      </c>
      <c r="J216" s="39" t="inlineStr">
        <is>
          <t>20/12/2024</t>
        </is>
      </c>
      <c r="K216" t="inlineStr">
        <is>
          <t>MO</t>
        </is>
      </c>
      <c r="L216" t="inlineStr">
        <is>
          <t>PIX: 14758063613</t>
        </is>
      </c>
      <c r="N216">
        <f>IF(ISERROR(SEARCH("NF",E216,1)),"NÃO","SIM")</f>
        <v/>
      </c>
      <c r="O216">
        <f>IF($B216=5,"SIM","")</f>
        <v/>
      </c>
      <c r="P216" s="81">
        <f>A216&amp;B216&amp;C216&amp;E216&amp;G216&amp;EDATE(J216,0)</f>
        <v/>
      </c>
      <c r="Q216" s="71">
        <f>IF(A216=0,"",VLOOKUP($A216,RESUMO!$A$8:$B$83,2,FALSE))</f>
        <v/>
      </c>
    </row>
    <row r="217">
      <c r="A217" s="39" t="n">
        <v>45646</v>
      </c>
      <c r="B217" s="53" t="n">
        <v>1</v>
      </c>
      <c r="C217" t="inlineStr">
        <is>
          <t>00014758063613</t>
        </is>
      </c>
      <c r="D217" t="inlineStr">
        <is>
          <t>IZAEL BISPO OLIVEIRA</t>
        </is>
      </c>
      <c r="E217" t="inlineStr">
        <is>
          <t>13º SALÁRIO</t>
        </is>
      </c>
      <c r="G217" s="78" t="n">
        <v>408.55</v>
      </c>
      <c r="H217" t="n">
        <v>1</v>
      </c>
      <c r="I217" s="78" t="n">
        <v>408.55</v>
      </c>
      <c r="J217" s="39" t="inlineStr">
        <is>
          <t>20/12/2024</t>
        </is>
      </c>
      <c r="K217" t="inlineStr">
        <is>
          <t>MO</t>
        </is>
      </c>
      <c r="L217" t="inlineStr">
        <is>
          <t>PIX: 14758063613</t>
        </is>
      </c>
      <c r="N217">
        <f>IF(ISERROR(SEARCH("NF",E217,1)),"NÃO","SIM")</f>
        <v/>
      </c>
      <c r="O217">
        <f>IF($B217=5,"SIM","")</f>
        <v/>
      </c>
      <c r="P217" s="81">
        <f>A217&amp;B217&amp;C217&amp;E217&amp;G217&amp;EDATE(J217,0)</f>
        <v/>
      </c>
      <c r="Q217" s="71">
        <f>IF(A217=0,"",VLOOKUP($A217,RESUMO!$A$8:$B$83,2,FALSE))</f>
        <v/>
      </c>
    </row>
    <row r="218">
      <c r="A218" s="39" t="n">
        <v>45646</v>
      </c>
      <c r="B218" s="53" t="n">
        <v>1</v>
      </c>
      <c r="C218" t="inlineStr">
        <is>
          <t>00085086894387</t>
        </is>
      </c>
      <c r="D218" t="inlineStr">
        <is>
          <t>ROBERVAL PORTACIO DOS SANTOS</t>
        </is>
      </c>
      <c r="E218" t="inlineStr">
        <is>
          <t>SALÁRIO</t>
        </is>
      </c>
      <c r="G218" s="78" t="n">
        <v>642.8</v>
      </c>
      <c r="H218" t="n">
        <v>1</v>
      </c>
      <c r="I218" s="78" t="n">
        <v>642.8</v>
      </c>
      <c r="J218" s="39" t="inlineStr">
        <is>
          <t>20/12/2024</t>
        </is>
      </c>
      <c r="K218" t="inlineStr">
        <is>
          <t>MO</t>
        </is>
      </c>
      <c r="L218" t="inlineStr">
        <is>
          <t>PIX: 31971706400</t>
        </is>
      </c>
      <c r="N218">
        <f>IF(ISERROR(SEARCH("NF",E218,1)),"NÃO","SIM")</f>
        <v/>
      </c>
      <c r="O218">
        <f>IF($B218=5,"SIM","")</f>
        <v/>
      </c>
      <c r="P218" s="81">
        <f>A218&amp;B218&amp;C218&amp;E218&amp;G218&amp;EDATE(J218,0)</f>
        <v/>
      </c>
      <c r="Q218" s="71">
        <f>IF(A218=0,"",VLOOKUP($A218,RESUMO!$A$8:$B$83,2,FALSE))</f>
        <v/>
      </c>
    </row>
    <row r="219">
      <c r="A219" s="39" t="n">
        <v>45646</v>
      </c>
      <c r="B219" s="53" t="n">
        <v>1</v>
      </c>
      <c r="C219" t="inlineStr">
        <is>
          <t>00085086894387</t>
        </is>
      </c>
      <c r="D219" t="inlineStr">
        <is>
          <t>ROBERVAL PORTACIO DOS SANTOS</t>
        </is>
      </c>
      <c r="E219" t="inlineStr">
        <is>
          <t>13º SALÁRIO</t>
        </is>
      </c>
      <c r="G219" s="78" t="n">
        <v>237.7</v>
      </c>
      <c r="H219" t="n">
        <v>1</v>
      </c>
      <c r="I219" s="78" t="n">
        <v>237.7</v>
      </c>
      <c r="J219" s="39" t="inlineStr">
        <is>
          <t>20/12/2024</t>
        </is>
      </c>
      <c r="K219" t="inlineStr">
        <is>
          <t>MO</t>
        </is>
      </c>
      <c r="L219" t="inlineStr">
        <is>
          <t>PIX: 31971706400</t>
        </is>
      </c>
      <c r="N219">
        <f>IF(ISERROR(SEARCH("NF",E219,1)),"NÃO","SIM")</f>
        <v/>
      </c>
      <c r="O219">
        <f>IF($B219=5,"SIM","")</f>
        <v/>
      </c>
      <c r="P219" s="81">
        <f>A219&amp;B219&amp;C219&amp;E219&amp;G219&amp;EDATE(J219,0)</f>
        <v/>
      </c>
      <c r="Q219" s="71">
        <f>IF(A219=0,"",VLOOKUP($A219,RESUMO!$A$8:$B$83,2,FALSE))</f>
        <v/>
      </c>
    </row>
    <row r="220">
      <c r="A220" s="39" t="n">
        <v>45646</v>
      </c>
      <c r="B220" s="53" t="n">
        <v>1</v>
      </c>
      <c r="C220" t="inlineStr">
        <is>
          <t>00087942119653</t>
        </is>
      </c>
      <c r="D220" t="inlineStr">
        <is>
          <t>DOMINGOS DA SILVA LIMA</t>
        </is>
      </c>
      <c r="E220" t="inlineStr">
        <is>
          <t>SALÁRIO</t>
        </is>
      </c>
      <c r="G220" s="78" t="n">
        <v>642.8</v>
      </c>
      <c r="H220" t="n">
        <v>1</v>
      </c>
      <c r="I220" s="78" t="n">
        <v>642.8</v>
      </c>
      <c r="J220" s="39" t="inlineStr">
        <is>
          <t>20/12/2024</t>
        </is>
      </c>
      <c r="K220" t="inlineStr">
        <is>
          <t>MO</t>
        </is>
      </c>
      <c r="L220" t="inlineStr">
        <is>
          <t>CEF 13 - 892 00113057-1</t>
        </is>
      </c>
      <c r="N220">
        <f>IF(ISERROR(SEARCH("NF",E220,1)),"NÃO","SIM")</f>
        <v/>
      </c>
      <c r="O220">
        <f>IF($B220=5,"SIM","")</f>
        <v/>
      </c>
      <c r="P220" s="81">
        <f>A220&amp;B220&amp;C220&amp;E220&amp;G220&amp;EDATE(J220,0)</f>
        <v/>
      </c>
      <c r="Q220" s="71">
        <f>IF(A220=0,"",VLOOKUP($A220,RESUMO!$A$8:$B$83,2,FALSE))</f>
        <v/>
      </c>
    </row>
    <row r="221">
      <c r="A221" s="39" t="n">
        <v>45646</v>
      </c>
      <c r="B221" s="53" t="n">
        <v>1</v>
      </c>
      <c r="C221" t="inlineStr">
        <is>
          <t>00087942119653</t>
        </is>
      </c>
      <c r="D221" t="inlineStr">
        <is>
          <t>DOMINGOS DA SILVA LIMA</t>
        </is>
      </c>
      <c r="E221" t="inlineStr">
        <is>
          <t>13º SALÁRIO</t>
        </is>
      </c>
      <c r="G221" s="78" t="n">
        <v>237.7</v>
      </c>
      <c r="H221" t="n">
        <v>1</v>
      </c>
      <c r="I221" s="78" t="n">
        <v>237.7</v>
      </c>
      <c r="J221" s="39" t="inlineStr">
        <is>
          <t>20/12/2024</t>
        </is>
      </c>
      <c r="K221" t="inlineStr">
        <is>
          <t>MO</t>
        </is>
      </c>
      <c r="L221" t="inlineStr">
        <is>
          <t>CEF 13 - 892 00113057-1</t>
        </is>
      </c>
      <c r="N221">
        <f>IF(ISERROR(SEARCH("NF",E221,1)),"NÃO","SIM")</f>
        <v/>
      </c>
      <c r="O221">
        <f>IF($B221=5,"SIM","")</f>
        <v/>
      </c>
      <c r="P221" s="81">
        <f>A221&amp;B221&amp;C221&amp;E221&amp;G221&amp;EDATE(J221,0)</f>
        <v/>
      </c>
      <c r="Q221" s="71">
        <f>IF(A221=0,"",VLOOKUP($A221,RESUMO!$A$8:$B$83,2,FALSE))</f>
        <v/>
      </c>
    </row>
    <row r="222">
      <c r="A222" s="39" t="n">
        <v>45646</v>
      </c>
      <c r="B222" s="53" t="n">
        <v>1</v>
      </c>
      <c r="C222" t="inlineStr">
        <is>
          <t>00075746980315</t>
        </is>
      </c>
      <c r="D222" t="inlineStr">
        <is>
          <t>FRANCISCO REGO DA SILVA</t>
        </is>
      </c>
      <c r="E222" t="inlineStr">
        <is>
          <t>SALÁRIO</t>
        </is>
      </c>
      <c r="G222" s="78" t="n">
        <v>916</v>
      </c>
      <c r="H222" t="n">
        <v>1</v>
      </c>
      <c r="I222" s="78" t="n">
        <v>916</v>
      </c>
      <c r="J222" s="39" t="inlineStr">
        <is>
          <t>20/12/2024</t>
        </is>
      </c>
      <c r="K222" t="inlineStr">
        <is>
          <t>MO</t>
        </is>
      </c>
      <c r="L222" t="inlineStr">
        <is>
          <t>PIX: 75746980315</t>
        </is>
      </c>
      <c r="N222">
        <f>IF(ISERROR(SEARCH("NF",E222,1)),"NÃO","SIM")</f>
        <v/>
      </c>
      <c r="O222">
        <f>IF($B222=5,"SIM","")</f>
        <v/>
      </c>
      <c r="P222" s="81">
        <f>A222&amp;B222&amp;C222&amp;E222&amp;G222&amp;EDATE(J222,0)</f>
        <v/>
      </c>
      <c r="Q222" s="71">
        <f>IF(A222=0,"",VLOOKUP($A222,RESUMO!$A$8:$B$83,2,FALSE))</f>
        <v/>
      </c>
    </row>
    <row r="223">
      <c r="A223" s="39" t="n">
        <v>45646</v>
      </c>
      <c r="B223" s="53" t="n">
        <v>1</v>
      </c>
      <c r="C223" t="inlineStr">
        <is>
          <t>00075746980315</t>
        </is>
      </c>
      <c r="D223" t="inlineStr">
        <is>
          <t>FRANCISCO REGO DA SILVA</t>
        </is>
      </c>
      <c r="E223" t="inlineStr">
        <is>
          <t>13º SALÁRIO</t>
        </is>
      </c>
      <c r="G223" s="78" t="n">
        <v>338.74</v>
      </c>
      <c r="H223" t="n">
        <v>1</v>
      </c>
      <c r="I223" s="78" t="n">
        <v>338.74</v>
      </c>
      <c r="J223" s="39" t="inlineStr">
        <is>
          <t>20/12/2024</t>
        </is>
      </c>
      <c r="K223" t="inlineStr">
        <is>
          <t>MO</t>
        </is>
      </c>
      <c r="L223" t="inlineStr">
        <is>
          <t>PIX: 75746980315</t>
        </is>
      </c>
      <c r="N223">
        <f>IF(ISERROR(SEARCH("NF",E223,1)),"NÃO","SIM")</f>
        <v/>
      </c>
      <c r="O223">
        <f>IF($B223=5,"SIM","")</f>
        <v/>
      </c>
      <c r="P223" s="81">
        <f>A223&amp;B223&amp;C223&amp;E223&amp;G223&amp;EDATE(J223,0)</f>
        <v/>
      </c>
      <c r="Q223" s="71">
        <f>IF(A223=0,"",VLOOKUP($A223,RESUMO!$A$8:$B$83,2,FALSE))</f>
        <v/>
      </c>
    </row>
    <row r="224">
      <c r="A224" s="39" t="n">
        <v>45646</v>
      </c>
      <c r="B224" s="53" t="n">
        <v>1</v>
      </c>
      <c r="C224" t="inlineStr">
        <is>
          <t>00001980098603</t>
        </is>
      </c>
      <c r="D224" t="inlineStr">
        <is>
          <t>LUCAS CATALUNHA DA SILVA</t>
        </is>
      </c>
      <c r="E224" t="inlineStr">
        <is>
          <t>SALÁRIO</t>
        </is>
      </c>
      <c r="G224" s="78" t="n">
        <v>642.8</v>
      </c>
      <c r="H224" t="n">
        <v>1</v>
      </c>
      <c r="I224" s="78" t="n">
        <v>642.8</v>
      </c>
      <c r="J224" s="39" t="inlineStr">
        <is>
          <t>20/12/2024</t>
        </is>
      </c>
      <c r="K224" t="inlineStr">
        <is>
          <t>MO</t>
        </is>
      </c>
      <c r="L224" t="inlineStr">
        <is>
          <t>PIX: 01980098603</t>
        </is>
      </c>
      <c r="N224">
        <f>IF(ISERROR(SEARCH("NF",E224,1)),"NÃO","SIM")</f>
        <v/>
      </c>
      <c r="O224">
        <f>IF($B224=5,"SIM","")</f>
        <v/>
      </c>
      <c r="P224" s="81">
        <f>A224&amp;B224&amp;C224&amp;E224&amp;G224&amp;EDATE(J224,0)</f>
        <v/>
      </c>
      <c r="Q224" s="71">
        <f>IF(A224=0,"",VLOOKUP($A224,RESUMO!$A$8:$B$83,2,FALSE))</f>
        <v/>
      </c>
    </row>
    <row r="225">
      <c r="A225" s="39" t="n">
        <v>45646</v>
      </c>
      <c r="B225" s="53" t="n">
        <v>1</v>
      </c>
      <c r="C225" t="inlineStr">
        <is>
          <t>00001980098603</t>
        </is>
      </c>
      <c r="D225" t="inlineStr">
        <is>
          <t>LUCAS CATALUNHA DA SILVA</t>
        </is>
      </c>
      <c r="E225" t="inlineStr">
        <is>
          <t>13º SALÁRIO</t>
        </is>
      </c>
      <c r="G225" s="78" t="n">
        <v>180.79</v>
      </c>
      <c r="H225" t="n">
        <v>1</v>
      </c>
      <c r="I225" s="78" t="n">
        <v>180.79</v>
      </c>
      <c r="J225" s="39" t="inlineStr">
        <is>
          <t>20/12/2024</t>
        </is>
      </c>
      <c r="K225" t="inlineStr">
        <is>
          <t>MO</t>
        </is>
      </c>
      <c r="L225" t="inlineStr">
        <is>
          <t>PIX: 01980098603</t>
        </is>
      </c>
      <c r="N225">
        <f>IF(ISERROR(SEARCH("NF",E225,1)),"NÃO","SIM")</f>
        <v/>
      </c>
      <c r="O225">
        <f>IF($B225=5,"SIM","")</f>
        <v/>
      </c>
      <c r="P225" s="81">
        <f>A225&amp;B225&amp;C225&amp;E225&amp;G225&amp;EDATE(J225,0)</f>
        <v/>
      </c>
      <c r="Q225" s="71">
        <f>IF(A225=0,"",VLOOKUP($A225,RESUMO!$A$8:$B$83,2,FALSE))</f>
        <v/>
      </c>
    </row>
    <row r="226">
      <c r="A226" s="39" t="n">
        <v>45646</v>
      </c>
      <c r="B226" s="53" t="n">
        <v>1</v>
      </c>
      <c r="C226" t="inlineStr">
        <is>
          <t>00036404993600</t>
        </is>
      </c>
      <c r="D226" t="inlineStr">
        <is>
          <t xml:space="preserve">NIVALDO DA SILVA </t>
        </is>
      </c>
      <c r="E226" t="inlineStr">
        <is>
          <t>DIÁRIA</t>
        </is>
      </c>
      <c r="G226" s="78" t="n">
        <v>270</v>
      </c>
      <c r="H226" t="n">
        <v>9</v>
      </c>
      <c r="I226" s="78" t="n">
        <v>2430</v>
      </c>
      <c r="J226" s="39" t="inlineStr">
        <is>
          <t>20/12/2024</t>
        </is>
      </c>
      <c r="K226" t="inlineStr">
        <is>
          <t>MO</t>
        </is>
      </c>
      <c r="L226" t="inlineStr">
        <is>
          <t>PIX: 36404993600</t>
        </is>
      </c>
      <c r="N226">
        <f>IF(ISERROR(SEARCH("NF",E226,1)),"NÃO","SIM")</f>
        <v/>
      </c>
      <c r="O226">
        <f>IF($B226=5,"SIM","")</f>
        <v/>
      </c>
      <c r="P226" s="81">
        <f>A226&amp;B226&amp;C226&amp;E226&amp;G226&amp;EDATE(J226,0)</f>
        <v/>
      </c>
      <c r="Q226" s="71">
        <f>IF(A226=0,"",VLOOKUP($A226,RESUMO!$A$8:$B$83,2,FALSE))</f>
        <v/>
      </c>
    </row>
    <row r="227">
      <c r="A227" s="39" t="n">
        <v>45646</v>
      </c>
      <c r="B227" s="53" t="n">
        <v>2</v>
      </c>
      <c r="C227" t="inlineStr">
        <is>
          <t>00007281903626</t>
        </is>
      </c>
      <c r="D227" t="inlineStr">
        <is>
          <t>HUGO LUIZ ASSEREUI</t>
        </is>
      </c>
      <c r="E227" t="inlineStr">
        <is>
          <t>VIAGENS TERRA E DIÁRIAS BOBCAT - NFS-E 7</t>
        </is>
      </c>
      <c r="G227" s="78" t="n">
        <v>31011.5</v>
      </c>
      <c r="H227" t="n">
        <v>1</v>
      </c>
      <c r="I227" s="78" t="n">
        <v>31011.5</v>
      </c>
      <c r="J227" s="39" t="inlineStr">
        <is>
          <t>20/12/2024</t>
        </is>
      </c>
      <c r="K227" t="inlineStr">
        <is>
          <t>SERV</t>
        </is>
      </c>
      <c r="L227" t="inlineStr">
        <is>
          <t>PIX: 07281903626</t>
        </is>
      </c>
      <c r="N227">
        <f>IF(ISERROR(SEARCH("NF",E227,1)),"NÃO","SIM")</f>
        <v/>
      </c>
      <c r="O227">
        <f>IF($B227=5,"SIM","")</f>
        <v/>
      </c>
      <c r="P227" s="81">
        <f>A227&amp;B227&amp;C227&amp;E227&amp;G227&amp;EDATE(J227,0)</f>
        <v/>
      </c>
      <c r="Q227" s="71">
        <f>IF(A227=0,"",VLOOKUP($A227,RESUMO!$A$8:$B$83,2,FALSE))</f>
        <v/>
      </c>
    </row>
    <row r="228">
      <c r="A228" s="39" t="n">
        <v>45646</v>
      </c>
      <c r="B228" s="53" t="n">
        <v>2</v>
      </c>
      <c r="C228" t="inlineStr">
        <is>
          <t>00078068991620</t>
        </is>
      </c>
      <c r="D228" t="inlineStr">
        <is>
          <t xml:space="preserve">GERALDO LUCIANO FERREIRA </t>
        </is>
      </c>
      <c r="E228" t="inlineStr">
        <is>
          <t>ESCAVAÇÃO DE TUBULÃO</t>
        </is>
      </c>
      <c r="G228" s="78" t="n">
        <v>24144</v>
      </c>
      <c r="H228" t="n">
        <v>1</v>
      </c>
      <c r="I228" s="78" t="n">
        <v>24144</v>
      </c>
      <c r="J228" s="39" t="inlineStr">
        <is>
          <t>20/12/2024</t>
        </is>
      </c>
      <c r="K228" t="inlineStr">
        <is>
          <t>SERV</t>
        </is>
      </c>
      <c r="L228" t="inlineStr">
        <is>
          <t>ITAÚ  - 8562 37658</t>
        </is>
      </c>
      <c r="N228">
        <f>IF(ISERROR(SEARCH("NF",E228,1)),"NÃO","SIM")</f>
        <v/>
      </c>
      <c r="O228">
        <f>IF($B228=5,"SIM","")</f>
        <v/>
      </c>
      <c r="P228" s="81">
        <f>A228&amp;B228&amp;C228&amp;E228&amp;G228&amp;EDATE(J228,0)</f>
        <v/>
      </c>
      <c r="Q228" s="71">
        <f>IF(A228=0,"",VLOOKUP($A228,RESUMO!$A$8:$B$83,2,FALSE))</f>
        <v/>
      </c>
    </row>
    <row r="229">
      <c r="A229" s="39" t="n">
        <v>45646</v>
      </c>
      <c r="B229" s="53" t="n">
        <v>3</v>
      </c>
      <c r="C229" t="inlineStr">
        <is>
          <t>07409393000130</t>
        </is>
      </c>
      <c r="D229" t="inlineStr">
        <is>
          <t>LOCFER</t>
        </is>
      </c>
      <c r="E229" t="inlineStr">
        <is>
          <t>SERRAS E MARTELOS - NF 27078</t>
        </is>
      </c>
      <c r="G229" s="78" t="n">
        <v>1250</v>
      </c>
      <c r="H229" t="n">
        <v>1</v>
      </c>
      <c r="I229" s="78" t="n">
        <v>1250</v>
      </c>
      <c r="J229" s="39" t="inlineStr">
        <is>
          <t>02/01/2025</t>
        </is>
      </c>
      <c r="K229" t="inlineStr">
        <is>
          <t>LOC</t>
        </is>
      </c>
      <c r="L229" t="inlineStr">
        <is>
          <t>-</t>
        </is>
      </c>
      <c r="N229">
        <f>IF(ISERROR(SEARCH("NF",E229,1)),"NÃO","SIM")</f>
        <v/>
      </c>
      <c r="O229">
        <f>IF($B229=5,"SIM","")</f>
        <v/>
      </c>
      <c r="P229" s="81">
        <f>A229&amp;B229&amp;C229&amp;E229&amp;G229&amp;EDATE(J229,0)</f>
        <v/>
      </c>
      <c r="Q229" s="71">
        <f>IF(A229=0,"",VLOOKUP($A229,RESUMO!$A$8:$B$83,2,FALSE))</f>
        <v/>
      </c>
    </row>
    <row r="230">
      <c r="A230" s="39" t="n">
        <v>45646</v>
      </c>
      <c r="B230" s="53" t="n">
        <v>3</v>
      </c>
      <c r="C230" t="inlineStr">
        <is>
          <t>17581836000634</t>
        </is>
      </c>
      <c r="D230" t="inlineStr">
        <is>
          <t>LOJA DO PAULO</t>
        </is>
      </c>
      <c r="E230" t="inlineStr">
        <is>
          <t>MATERIAIS DIVERSOS - NF 33224</t>
        </is>
      </c>
      <c r="G230" s="78" t="n">
        <v>312</v>
      </c>
      <c r="H230" t="n">
        <v>1</v>
      </c>
      <c r="I230" s="78" t="n">
        <v>312</v>
      </c>
      <c r="J230" s="39" t="inlineStr">
        <is>
          <t>06/01/2025</t>
        </is>
      </c>
      <c r="K230" t="inlineStr">
        <is>
          <t>MAT</t>
        </is>
      </c>
      <c r="L230" t="inlineStr">
        <is>
          <t>-</t>
        </is>
      </c>
      <c r="N230">
        <f>IF(ISERROR(SEARCH("NF",E230,1)),"NÃO","SIM")</f>
        <v/>
      </c>
      <c r="O230">
        <f>IF($B230=5,"SIM","")</f>
        <v/>
      </c>
      <c r="P230" s="81">
        <f>A230&amp;B230&amp;C230&amp;E230&amp;G230&amp;EDATE(J230,0)</f>
        <v/>
      </c>
      <c r="Q230" s="71">
        <f>IF(A230=0,"",VLOOKUP($A230,RESUMO!$A$8:$B$83,2,FALSE))</f>
        <v/>
      </c>
    </row>
    <row r="231">
      <c r="A231" s="39" t="n">
        <v>45646</v>
      </c>
      <c r="B231" s="53" t="n">
        <v>3</v>
      </c>
      <c r="C231" t="inlineStr">
        <is>
          <t>07409393000130</t>
        </is>
      </c>
      <c r="D231" t="inlineStr">
        <is>
          <t>LOCFER</t>
        </is>
      </c>
      <c r="E231" t="inlineStr">
        <is>
          <t>MARTELETE E BETONEIRA - NF 27121</t>
        </is>
      </c>
      <c r="G231" s="78" t="n">
        <v>555</v>
      </c>
      <c r="H231" t="n">
        <v>1</v>
      </c>
      <c r="I231" s="78" t="n">
        <v>555</v>
      </c>
      <c r="J231" s="39" t="inlineStr">
        <is>
          <t>08/01/2025</t>
        </is>
      </c>
      <c r="K231" t="inlineStr">
        <is>
          <t>LOC</t>
        </is>
      </c>
      <c r="L231" t="inlineStr">
        <is>
          <t>-</t>
        </is>
      </c>
      <c r="N231">
        <f>IF(ISERROR(SEARCH("NF",E231,1)),"NÃO","SIM")</f>
        <v/>
      </c>
      <c r="O231">
        <f>IF($B231=5,"SIM","")</f>
        <v/>
      </c>
      <c r="P231" s="81">
        <f>A231&amp;B231&amp;C231&amp;E231&amp;G231&amp;EDATE(J231,0)</f>
        <v/>
      </c>
      <c r="Q231" s="71">
        <f>IF(A231=0,"",VLOOKUP($A231,RESUMO!$A$8:$B$83,2,FALSE))</f>
        <v/>
      </c>
    </row>
    <row r="232">
      <c r="A232" s="39" t="n">
        <v>45646</v>
      </c>
      <c r="B232" s="53" t="n">
        <v>3</v>
      </c>
      <c r="C232" t="inlineStr">
        <is>
          <t>24654133000220</t>
        </is>
      </c>
      <c r="D232" t="inlineStr">
        <is>
          <t xml:space="preserve">PLIMAX PERSONA </t>
        </is>
      </c>
      <c r="E232" t="inlineStr">
        <is>
          <t>CESTAS DE NATAL - NF 269709</t>
        </is>
      </c>
      <c r="G232" s="78" t="n">
        <v>886.14</v>
      </c>
      <c r="H232" t="n">
        <v>1</v>
      </c>
      <c r="I232" s="78" t="n">
        <v>886.14</v>
      </c>
      <c r="J232" s="39" t="inlineStr">
        <is>
          <t>10/01/2025</t>
        </is>
      </c>
      <c r="K232" t="inlineStr">
        <is>
          <t>MO</t>
        </is>
      </c>
      <c r="L232" t="inlineStr">
        <is>
          <t>-</t>
        </is>
      </c>
      <c r="N232">
        <f>IF(ISERROR(SEARCH("NF",E232,1)),"NÃO","SIM")</f>
        <v/>
      </c>
      <c r="O232">
        <f>IF($B232=5,"SIM","")</f>
        <v/>
      </c>
      <c r="P232" s="81">
        <f>A232&amp;B232&amp;C232&amp;E232&amp;G232&amp;EDATE(J232,0)</f>
        <v/>
      </c>
      <c r="Q232" s="71">
        <f>IF(A232=0,"",VLOOKUP($A232,RESUMO!$A$8:$B$83,2,FALSE))</f>
        <v/>
      </c>
    </row>
    <row r="233">
      <c r="A233" s="39" t="n">
        <v>45646</v>
      </c>
      <c r="B233" s="53" t="n">
        <v>3</v>
      </c>
      <c r="C233" t="inlineStr">
        <is>
          <t>00360305000104</t>
        </is>
      </c>
      <c r="D233" t="inlineStr">
        <is>
          <t>FGTS</t>
        </is>
      </c>
      <c r="E233" t="inlineStr">
        <is>
          <t>COMPETENCIA 11/2024</t>
        </is>
      </c>
      <c r="G233" s="78" t="n">
        <v>1879.48</v>
      </c>
      <c r="H233" t="n">
        <v>1</v>
      </c>
      <c r="I233" s="78" t="n">
        <v>1879.48</v>
      </c>
      <c r="J233" s="39" t="inlineStr">
        <is>
          <t>20/12/2024</t>
        </is>
      </c>
      <c r="K233" t="inlineStr">
        <is>
          <t>MO</t>
        </is>
      </c>
      <c r="L233" t="inlineStr">
        <is>
          <t>-</t>
        </is>
      </c>
      <c r="N233">
        <f>IF(ISERROR(SEARCH("NF",E233,1)),"NÃO","SIM")</f>
        <v/>
      </c>
      <c r="O233">
        <f>IF($B233=5,"SIM","")</f>
        <v/>
      </c>
      <c r="P233" s="81">
        <f>A233&amp;B233&amp;C233&amp;E233&amp;G233&amp;EDATE(J233,0)</f>
        <v/>
      </c>
      <c r="Q233" s="71">
        <f>IF(A233=0,"",VLOOKUP($A233,RESUMO!$A$8:$B$83,2,FALSE))</f>
        <v/>
      </c>
    </row>
    <row r="234">
      <c r="A234" s="39" t="n">
        <v>45646</v>
      </c>
      <c r="B234" s="53" t="n">
        <v>3</v>
      </c>
      <c r="C234" t="inlineStr">
        <is>
          <t>00394460000141</t>
        </is>
      </c>
      <c r="D234" t="inlineStr">
        <is>
          <t>INSS/IRRF</t>
        </is>
      </c>
      <c r="E234" t="inlineStr">
        <is>
          <t>COMPETENCIA 11/2024</t>
        </is>
      </c>
      <c r="G234" s="78" t="n">
        <v>8910.940000000001</v>
      </c>
      <c r="H234" t="n">
        <v>1</v>
      </c>
      <c r="I234" s="78" t="n">
        <v>8910.940000000001</v>
      </c>
      <c r="J234" s="39" t="inlineStr">
        <is>
          <t>20/12/2024</t>
        </is>
      </c>
      <c r="K234" t="inlineStr">
        <is>
          <t>MO</t>
        </is>
      </c>
      <c r="L234" t="inlineStr">
        <is>
          <t>-</t>
        </is>
      </c>
      <c r="N234">
        <f>IF(ISERROR(SEARCH("NF",E234,1)),"NÃO","SIM")</f>
        <v/>
      </c>
      <c r="O234">
        <f>IF($B234=5,"SIM","")</f>
        <v/>
      </c>
      <c r="P234" s="81">
        <f>A234&amp;B234&amp;C234&amp;E234&amp;G234&amp;EDATE(J234,0)</f>
        <v/>
      </c>
      <c r="Q234" s="71">
        <f>IF(A234=0,"",VLOOKUP($A234,RESUMO!$A$8:$B$83,2,FALSE))</f>
        <v/>
      </c>
    </row>
    <row r="235">
      <c r="A235" s="39" t="n">
        <v>45646</v>
      </c>
      <c r="B235" s="53" t="n">
        <v>3</v>
      </c>
      <c r="C235" t="inlineStr">
        <is>
          <t>00394460000141</t>
        </is>
      </c>
      <c r="D235" t="inlineStr">
        <is>
          <t>INSS/IRRF</t>
        </is>
      </c>
      <c r="E235" t="inlineStr">
        <is>
          <t>REF. 13º SALÁRIO</t>
        </is>
      </c>
      <c r="G235" s="78" t="n">
        <v>1941.66</v>
      </c>
      <c r="H235" t="n">
        <v>1</v>
      </c>
      <c r="I235" s="78" t="n">
        <v>1941.66</v>
      </c>
      <c r="J235" s="39" t="inlineStr">
        <is>
          <t>20/12/2024</t>
        </is>
      </c>
      <c r="K235" t="inlineStr">
        <is>
          <t>MO</t>
        </is>
      </c>
      <c r="L235" t="inlineStr">
        <is>
          <t>-</t>
        </is>
      </c>
      <c r="N235">
        <f>IF(ISERROR(SEARCH("NF",E235,1)),"NÃO","SIM")</f>
        <v/>
      </c>
      <c r="O235">
        <f>IF($B235=5,"SIM","")</f>
        <v/>
      </c>
      <c r="P235" s="81">
        <f>A235&amp;B235&amp;C235&amp;E235&amp;G235&amp;EDATE(J235,0)</f>
        <v/>
      </c>
      <c r="Q235" s="71">
        <f>IF(A235=0,"",VLOOKUP($A235,RESUMO!$A$8:$B$83,2,FALSE))</f>
        <v/>
      </c>
    </row>
    <row r="236">
      <c r="A236" s="39" t="n">
        <v>45646</v>
      </c>
      <c r="B236" s="53" t="n">
        <v>3</v>
      </c>
      <c r="C236" t="inlineStr">
        <is>
          <t>36245582000113</t>
        </is>
      </c>
      <c r="D236" t="inlineStr">
        <is>
          <t>MHS SEGURANÇA E MEDICINA DO TRABALHO</t>
        </is>
      </c>
      <c r="E236" t="inlineStr">
        <is>
          <t>REALIZAÇÃO DE EXAMES - NF 1049</t>
        </is>
      </c>
      <c r="G236" s="78" t="n">
        <v>312</v>
      </c>
      <c r="H236" t="n">
        <v>1</v>
      </c>
      <c r="I236" s="78" t="n">
        <v>312</v>
      </c>
      <c r="J236" s="39" t="inlineStr">
        <is>
          <t>20/12/2024</t>
        </is>
      </c>
      <c r="K236" t="inlineStr">
        <is>
          <t>MO</t>
        </is>
      </c>
      <c r="L236" t="inlineStr">
        <is>
          <t>-</t>
        </is>
      </c>
      <c r="N236">
        <f>IF(ISERROR(SEARCH("NF",E236,1)),"NÃO","SIM")</f>
        <v/>
      </c>
      <c r="O236">
        <f>IF($B236=5,"SIM","")</f>
        <v/>
      </c>
      <c r="P236" s="81">
        <f>A236&amp;B236&amp;C236&amp;E236&amp;G236&amp;EDATE(J236,0)</f>
        <v/>
      </c>
      <c r="Q236" s="71">
        <f>IF(A236=0,"",VLOOKUP($A236,RESUMO!$A$8:$B$83,2,FALSE))</f>
        <v/>
      </c>
    </row>
    <row r="237">
      <c r="A237" s="39" t="n">
        <v>45646</v>
      </c>
      <c r="B237" s="53" t="n">
        <v>3</v>
      </c>
      <c r="C237" t="inlineStr">
        <is>
          <t>41598885000150</t>
        </is>
      </c>
      <c r="D237" t="inlineStr">
        <is>
          <t>CACAMBAS BOA VISTA LTDA</t>
        </is>
      </c>
      <c r="E237" t="inlineStr">
        <is>
          <t>LOCAÇÃO DE CAÇAMBAS - NF 2098</t>
        </is>
      </c>
      <c r="G237" s="78" t="n">
        <v>330</v>
      </c>
      <c r="H237" t="n">
        <v>1</v>
      </c>
      <c r="I237" s="78" t="n">
        <v>330</v>
      </c>
      <c r="J237" s="39" t="inlineStr">
        <is>
          <t>22/12/2024</t>
        </is>
      </c>
      <c r="K237" t="inlineStr">
        <is>
          <t>LOC</t>
        </is>
      </c>
      <c r="L237" t="inlineStr">
        <is>
          <t>-</t>
        </is>
      </c>
      <c r="N237">
        <f>IF(ISERROR(SEARCH("NF",E237,1)),"NÃO","SIM")</f>
        <v/>
      </c>
      <c r="O237">
        <f>IF($B237=5,"SIM","")</f>
        <v/>
      </c>
      <c r="P237" s="81">
        <f>A237&amp;B237&amp;C237&amp;E237&amp;G237&amp;EDATE(J237,0)</f>
        <v/>
      </c>
      <c r="Q237" s="71">
        <f>IF(A237=0,"",VLOOKUP($A237,RESUMO!$A$8:$B$83,2,FALSE))</f>
        <v/>
      </c>
    </row>
    <row r="238">
      <c r="A238" s="39" t="n">
        <v>45646</v>
      </c>
      <c r="B238" s="53" t="n">
        <v>3</v>
      </c>
      <c r="C238" t="inlineStr">
        <is>
          <t>00000000011045</t>
        </is>
      </c>
      <c r="D238" t="inlineStr">
        <is>
          <t>MHS EVENTO SST ESOCIAL</t>
        </is>
      </c>
      <c r="E238" t="inlineStr">
        <is>
          <t>COMPETENCIA 11/2024</t>
        </is>
      </c>
      <c r="G238" s="78" t="n">
        <v>102.6</v>
      </c>
      <c r="H238" t="n">
        <v>1</v>
      </c>
      <c r="I238" s="78" t="n">
        <v>102.6</v>
      </c>
      <c r="J238" s="39" t="inlineStr">
        <is>
          <t>23/12/2024</t>
        </is>
      </c>
      <c r="K238" t="inlineStr">
        <is>
          <t>MO</t>
        </is>
      </c>
      <c r="L238" t="inlineStr">
        <is>
          <t>PIX: 31995901635</t>
        </is>
      </c>
      <c r="N238">
        <f>IF(ISERROR(SEARCH("NF",E238,1)),"NÃO","SIM")</f>
        <v/>
      </c>
      <c r="O238">
        <f>IF($B238=5,"SIM","")</f>
        <v/>
      </c>
      <c r="P238" s="81">
        <f>A238&amp;B238&amp;C238&amp;E238&amp;G238&amp;EDATE(J238,0)</f>
        <v/>
      </c>
      <c r="Q238" s="71">
        <f>IF(A238=0,"",VLOOKUP($A238,RESUMO!$A$8:$B$83,2,FALSE))</f>
        <v/>
      </c>
    </row>
    <row r="239">
      <c r="A239" s="39" t="n">
        <v>45646</v>
      </c>
      <c r="B239" s="53" t="n">
        <v>3</v>
      </c>
      <c r="C239" t="inlineStr">
        <is>
          <t>21944558000103</t>
        </is>
      </c>
      <c r="D239" t="inlineStr">
        <is>
          <t>LOCAN ANDAIMES</t>
        </is>
      </c>
      <c r="E239" t="inlineStr">
        <is>
          <t>LOCAÇÃO DE ANDAIMES - NF 10167</t>
        </is>
      </c>
      <c r="G239" s="78" t="n">
        <v>228</v>
      </c>
      <c r="H239" t="n">
        <v>1</v>
      </c>
      <c r="I239" s="78" t="n">
        <v>228</v>
      </c>
      <c r="J239" s="39" t="inlineStr">
        <is>
          <t>23/12/2024</t>
        </is>
      </c>
      <c r="K239" t="inlineStr">
        <is>
          <t>LOC</t>
        </is>
      </c>
      <c r="L239" t="inlineStr">
        <is>
          <t>-</t>
        </is>
      </c>
      <c r="N239">
        <f>IF(ISERROR(SEARCH("NF",E239,1)),"NÃO","SIM")</f>
        <v/>
      </c>
      <c r="O239">
        <f>IF($B239=5,"SIM","")</f>
        <v/>
      </c>
      <c r="P239" s="81">
        <f>A239&amp;B239&amp;C239&amp;E239&amp;G239&amp;EDATE(J239,0)</f>
        <v/>
      </c>
      <c r="Q239" s="71">
        <f>IF(A239=0,"",VLOOKUP($A239,RESUMO!$A$8:$B$83,2,FALSE))</f>
        <v/>
      </c>
    </row>
    <row r="240">
      <c r="A240" s="39" t="n">
        <v>45646</v>
      </c>
      <c r="B240" s="53" t="n">
        <v>3</v>
      </c>
      <c r="C240" t="inlineStr">
        <is>
          <t>15373066000102</t>
        </is>
      </c>
      <c r="D240" t="inlineStr">
        <is>
          <t>JB CIMENTO</t>
        </is>
      </c>
      <c r="E240" t="inlineStr">
        <is>
          <t>CIMENTO - NF 280876</t>
        </is>
      </c>
      <c r="G240" s="78" t="n">
        <v>2240</v>
      </c>
      <c r="H240" t="n">
        <v>1</v>
      </c>
      <c r="I240" s="78" t="n">
        <v>2240</v>
      </c>
      <c r="J240" s="39" t="inlineStr">
        <is>
          <t>23/12/2024</t>
        </is>
      </c>
      <c r="K240" t="inlineStr">
        <is>
          <t>MAT</t>
        </is>
      </c>
      <c r="L240" t="inlineStr">
        <is>
          <t>-</t>
        </is>
      </c>
      <c r="N240">
        <f>IF(ISERROR(SEARCH("NF",E240,1)),"NÃO","SIM")</f>
        <v/>
      </c>
      <c r="O240">
        <f>IF($B240=5,"SIM","")</f>
        <v/>
      </c>
      <c r="P240" s="81">
        <f>A240&amp;B240&amp;C240&amp;E240&amp;G240&amp;EDATE(J240,0)</f>
        <v/>
      </c>
      <c r="Q240" s="71">
        <f>IF(A240=0,"",VLOOKUP($A240,RESUMO!$A$8:$B$83,2,FALSE))</f>
        <v/>
      </c>
    </row>
    <row r="241">
      <c r="A241" s="39" t="n">
        <v>45646</v>
      </c>
      <c r="B241" s="53" t="n">
        <v>3</v>
      </c>
      <c r="C241" t="inlineStr">
        <is>
          <t>14313602000103</t>
        </is>
      </c>
      <c r="D241" t="inlineStr">
        <is>
          <t>VIDA EQUIPAMENTOS DE PROTECAO</t>
        </is>
      </c>
      <c r="E241" t="inlineStr">
        <is>
          <t>BOTAS - NF 28394</t>
        </is>
      </c>
      <c r="G241" s="78" t="n">
        <v>204.5</v>
      </c>
      <c r="H241" t="n">
        <v>1</v>
      </c>
      <c r="I241" s="78" t="n">
        <v>204.5</v>
      </c>
      <c r="J241" s="39" t="inlineStr">
        <is>
          <t>24/12/2024</t>
        </is>
      </c>
      <c r="K241" t="inlineStr">
        <is>
          <t>MO</t>
        </is>
      </c>
      <c r="L241" t="inlineStr">
        <is>
          <t>-</t>
        </is>
      </c>
      <c r="N241">
        <f>IF(ISERROR(SEARCH("NF",E241,1)),"NÃO","SIM")</f>
        <v/>
      </c>
      <c r="O241">
        <f>IF($B241=5,"SIM","")</f>
        <v/>
      </c>
      <c r="P241" s="81">
        <f>A241&amp;B241&amp;C241&amp;E241&amp;G241&amp;EDATE(J241,0)</f>
        <v/>
      </c>
      <c r="Q241" s="71">
        <f>IF(A241=0,"",VLOOKUP($A241,RESUMO!$A$8:$B$83,2,FALSE))</f>
        <v/>
      </c>
    </row>
    <row r="242">
      <c r="A242" s="39" t="n">
        <v>45646</v>
      </c>
      <c r="B242" s="53" t="n">
        <v>3</v>
      </c>
      <c r="C242" t="inlineStr">
        <is>
          <t>07409393000130</t>
        </is>
      </c>
      <c r="D242" t="inlineStr">
        <is>
          <t>LOCFER</t>
        </is>
      </c>
      <c r="E242" t="inlineStr">
        <is>
          <t>ESMERILHADEIRA - NF 26929</t>
        </is>
      </c>
      <c r="G242" s="78" t="n">
        <v>100</v>
      </c>
      <c r="H242" t="n">
        <v>1</v>
      </c>
      <c r="I242" s="78" t="n">
        <v>100</v>
      </c>
      <c r="J242" s="39" t="inlineStr">
        <is>
          <t>24/12/2024</t>
        </is>
      </c>
      <c r="K242" t="inlineStr">
        <is>
          <t>LOC</t>
        </is>
      </c>
      <c r="L242" t="inlineStr">
        <is>
          <t>-</t>
        </is>
      </c>
      <c r="N242">
        <f>IF(ISERROR(SEARCH("NF",E242,1)),"NÃO","SIM")</f>
        <v/>
      </c>
      <c r="O242">
        <f>IF($B242=5,"SIM","")</f>
        <v/>
      </c>
      <c r="P242" s="81">
        <f>A242&amp;B242&amp;C242&amp;E242&amp;G242&amp;EDATE(J242,0)</f>
        <v/>
      </c>
      <c r="Q242" s="71">
        <f>IF(A242=0,"",VLOOKUP($A242,RESUMO!$A$8:$B$83,2,FALSE))</f>
        <v/>
      </c>
    </row>
    <row r="243">
      <c r="A243" s="39" t="n">
        <v>45646</v>
      </c>
      <c r="B243" s="53" t="n">
        <v>3</v>
      </c>
      <c r="C243" t="inlineStr">
        <is>
          <t>24654133000220</t>
        </is>
      </c>
      <c r="D243" t="inlineStr">
        <is>
          <t xml:space="preserve">PLIMAX PERSONA </t>
        </is>
      </c>
      <c r="E243" t="inlineStr">
        <is>
          <t>CESTAS BÁSICAS - NF 268589</t>
        </is>
      </c>
      <c r="G243" s="78" t="n">
        <v>2514.33</v>
      </c>
      <c r="H243" t="n">
        <v>1</v>
      </c>
      <c r="I243" s="78" t="n">
        <v>2514.33</v>
      </c>
      <c r="J243" s="39" t="inlineStr">
        <is>
          <t>24/12/2024</t>
        </is>
      </c>
      <c r="K243" t="inlineStr">
        <is>
          <t>MO</t>
        </is>
      </c>
      <c r="L243" t="inlineStr">
        <is>
          <t>-</t>
        </is>
      </c>
      <c r="N243">
        <f>IF(ISERROR(SEARCH("NF",E243,1)),"NÃO","SIM")</f>
        <v/>
      </c>
      <c r="O243">
        <f>IF($B243=5,"SIM","")</f>
        <v/>
      </c>
      <c r="P243" s="81">
        <f>A243&amp;B243&amp;C243&amp;E243&amp;G243&amp;EDATE(J243,0)</f>
        <v/>
      </c>
      <c r="Q243" s="71">
        <f>IF(A243=0,"",VLOOKUP($A243,RESUMO!$A$8:$B$83,2,FALSE))</f>
        <v/>
      </c>
    </row>
    <row r="244">
      <c r="A244" s="39" t="n">
        <v>45646</v>
      </c>
      <c r="B244" s="53" t="n">
        <v>3</v>
      </c>
      <c r="C244" s="63" t="inlineStr">
        <is>
          <t>10559527000104</t>
        </is>
      </c>
      <c r="D244" t="inlineStr">
        <is>
          <t>LOCA MUNCK</t>
        </is>
      </c>
      <c r="E244" t="inlineStr">
        <is>
          <t>DIÁRIA DE CAMINHÃO - AGURAD. BOLETO</t>
        </is>
      </c>
      <c r="G244" s="78" t="n">
        <v>3300</v>
      </c>
      <c r="H244" t="n">
        <v>1</v>
      </c>
      <c r="I244" s="78" t="n">
        <v>3300</v>
      </c>
      <c r="J244" s="39" t="inlineStr">
        <is>
          <t>26/12/2024</t>
        </is>
      </c>
      <c r="K244" t="inlineStr">
        <is>
          <t>SERV</t>
        </is>
      </c>
      <c r="L244" t="inlineStr">
        <is>
          <t>-</t>
        </is>
      </c>
      <c r="N244">
        <f>IF(ISERROR(SEARCH("NF",E244,1)),"NÃO","SIM")</f>
        <v/>
      </c>
      <c r="O244">
        <f>IF($B244=5,"SIM","")</f>
        <v/>
      </c>
      <c r="P244" s="81">
        <f>A244&amp;B244&amp;C244&amp;E244&amp;G244&amp;EDATE(J244,0)</f>
        <v/>
      </c>
      <c r="Q244" s="71">
        <f>IF(A244=0,"",VLOOKUP($A244,RESUMO!$A$8:$B$83,2,FALSE))</f>
        <v/>
      </c>
    </row>
    <row r="245">
      <c r="A245" s="39" t="n">
        <v>45646</v>
      </c>
      <c r="B245" s="53" t="n">
        <v>3</v>
      </c>
      <c r="C245" t="inlineStr">
        <is>
          <t>07409393000130</t>
        </is>
      </c>
      <c r="D245" t="inlineStr">
        <is>
          <t>LOCFER</t>
        </is>
      </c>
      <c r="E245" t="inlineStr">
        <is>
          <t>SERRA, POLICORTE - NF 26983</t>
        </is>
      </c>
      <c r="G245" s="78" t="n">
        <v>235</v>
      </c>
      <c r="H245" t="n">
        <v>1</v>
      </c>
      <c r="I245" s="78" t="n">
        <v>235</v>
      </c>
      <c r="J245" s="39" t="inlineStr">
        <is>
          <t>27/12/2024</t>
        </is>
      </c>
      <c r="K245" t="inlineStr">
        <is>
          <t>LOC</t>
        </is>
      </c>
      <c r="L245" t="inlineStr">
        <is>
          <t>-</t>
        </is>
      </c>
      <c r="N245">
        <f>IF(ISERROR(SEARCH("NF",E245,1)),"NÃO","SIM")</f>
        <v/>
      </c>
      <c r="O245">
        <f>IF($B245=5,"SIM","")</f>
        <v/>
      </c>
      <c r="P245" s="81">
        <f>A245&amp;B245&amp;C245&amp;E245&amp;G245&amp;EDATE(J245,0)</f>
        <v/>
      </c>
      <c r="Q245" s="71">
        <f>IF(A245=0,"",VLOOKUP($A245,RESUMO!$A$8:$B$83,2,FALSE))</f>
        <v/>
      </c>
    </row>
    <row r="246">
      <c r="A246" s="39" t="n">
        <v>45646</v>
      </c>
      <c r="B246" s="53" t="n">
        <v>3</v>
      </c>
      <c r="C246" t="inlineStr">
        <is>
          <t>14313602000103</t>
        </is>
      </c>
      <c r="D246" t="inlineStr">
        <is>
          <t>VIDA EQUIPAMENTOS DE PROTECAO</t>
        </is>
      </c>
      <c r="E246" t="inlineStr">
        <is>
          <t>EQUIP. PROTEÇÃO - NF 28296 - PARC. 1/2</t>
        </is>
      </c>
      <c r="G246" s="78" t="n">
        <v>551.1799999999999</v>
      </c>
      <c r="H246" t="n">
        <v>1</v>
      </c>
      <c r="I246" s="78" t="n">
        <v>551.1799999999999</v>
      </c>
      <c r="J246" s="39" t="inlineStr">
        <is>
          <t>30/12/2024</t>
        </is>
      </c>
      <c r="K246" t="inlineStr">
        <is>
          <t>MO</t>
        </is>
      </c>
      <c r="L246" t="inlineStr">
        <is>
          <t>-</t>
        </is>
      </c>
      <c r="N246">
        <f>IF(ISERROR(SEARCH("NF",E246,1)),"NÃO","SIM")</f>
        <v/>
      </c>
      <c r="O246">
        <f>IF($B246=5,"SIM","")</f>
        <v/>
      </c>
      <c r="P246" s="81">
        <f>A246&amp;B246&amp;C246&amp;E246&amp;G246&amp;EDATE(J246,0)</f>
        <v/>
      </c>
      <c r="Q246" s="71">
        <f>IF(A246=0,"",VLOOKUP($A246,RESUMO!$A$8:$B$83,2,FALSE))</f>
        <v/>
      </c>
    </row>
    <row r="247">
      <c r="A247" s="39" t="n">
        <v>45646</v>
      </c>
      <c r="B247" s="53" t="n">
        <v>3</v>
      </c>
      <c r="C247" t="inlineStr">
        <is>
          <t>32994681000147</t>
        </is>
      </c>
      <c r="D247" t="inlineStr">
        <is>
          <t>FIÃO LOCAÇÕES E TRANSPORTES</t>
        </is>
      </c>
      <c r="E247" t="inlineStr">
        <is>
          <t>SERVIÇO DE TRANSPORTE - NF 2855</t>
        </is>
      </c>
      <c r="G247" s="78" t="n">
        <v>2000</v>
      </c>
      <c r="H247" t="n">
        <v>1</v>
      </c>
      <c r="I247" s="78" t="n">
        <v>2000</v>
      </c>
      <c r="J247" s="39" t="inlineStr">
        <is>
          <t>30/12/2024</t>
        </is>
      </c>
      <c r="K247" t="inlineStr">
        <is>
          <t>SERV</t>
        </is>
      </c>
      <c r="L247" t="inlineStr">
        <is>
          <t>-</t>
        </is>
      </c>
      <c r="N247">
        <f>IF(ISERROR(SEARCH("NF",E247,1)),"NÃO","SIM")</f>
        <v/>
      </c>
      <c r="O247">
        <f>IF($B247=5,"SIM","")</f>
        <v/>
      </c>
      <c r="P247" s="81">
        <f>A247&amp;B247&amp;C247&amp;E247&amp;G247&amp;EDATE(J247,0)</f>
        <v/>
      </c>
      <c r="Q247" s="71">
        <f>IF(A247=0,"",VLOOKUP($A247,RESUMO!$A$8:$B$83,2,FALSE))</f>
        <v/>
      </c>
    </row>
    <row r="248">
      <c r="A248" s="39" t="n">
        <v>45646</v>
      </c>
      <c r="B248" s="53" t="n">
        <v>3</v>
      </c>
      <c r="C248" t="inlineStr">
        <is>
          <t>38727707000177</t>
        </is>
      </c>
      <c r="D248" t="inlineStr">
        <is>
          <t>PASI SEGURO</t>
        </is>
      </c>
      <c r="E248" t="inlineStr">
        <is>
          <t>SEGURO COLABORADORES</t>
        </is>
      </c>
      <c r="G248" s="78" t="n">
        <v>199.71</v>
      </c>
      <c r="H248" t="n">
        <v>1</v>
      </c>
      <c r="I248" s="78" t="n">
        <v>199.71</v>
      </c>
      <c r="J248" s="39" t="inlineStr">
        <is>
          <t>31/12/2024</t>
        </is>
      </c>
      <c r="K248" t="inlineStr">
        <is>
          <t>MO</t>
        </is>
      </c>
      <c r="L248" t="inlineStr">
        <is>
          <t>-</t>
        </is>
      </c>
      <c r="N248">
        <f>IF(ISERROR(SEARCH("NF",E248,1)),"NÃO","SIM")</f>
        <v/>
      </c>
      <c r="O248">
        <f>IF($B248=5,"SIM","")</f>
        <v/>
      </c>
      <c r="P248" s="81">
        <f>A248&amp;B248&amp;C248&amp;E248&amp;G248&amp;EDATE(J248,0)</f>
        <v/>
      </c>
      <c r="Q248" s="71">
        <f>IF(A248=0,"",VLOOKUP($A248,RESUMO!$A$8:$B$83,2,FALSE))</f>
        <v/>
      </c>
    </row>
    <row r="249">
      <c r="A249" s="39" t="n">
        <v>45646</v>
      </c>
      <c r="B249" s="53" t="n">
        <v>5</v>
      </c>
      <c r="C249" t="inlineStr">
        <is>
          <t>18850040000279</t>
        </is>
      </c>
      <c r="D249" t="inlineStr">
        <is>
          <t>CASA DAS LONAS LTDA</t>
        </is>
      </c>
      <c r="E249" t="inlineStr">
        <is>
          <t>LONA PRETA - NF 29102</t>
        </is>
      </c>
      <c r="G249" s="78" t="n">
        <v>1034</v>
      </c>
      <c r="H249" t="n">
        <v>1</v>
      </c>
      <c r="I249" s="78" t="n">
        <v>1034</v>
      </c>
      <c r="J249" s="39" t="inlineStr">
        <is>
          <t>05/12/2024</t>
        </is>
      </c>
      <c r="K249" t="inlineStr">
        <is>
          <t>MAT</t>
        </is>
      </c>
      <c r="L249" t="inlineStr">
        <is>
          <t>-</t>
        </is>
      </c>
      <c r="N249">
        <f>IF(ISERROR(SEARCH("NF",E249,1)),"NÃO","SIM")</f>
        <v/>
      </c>
      <c r="O249">
        <f>IF($B249=5,"SIM","")</f>
        <v/>
      </c>
      <c r="P249" s="81">
        <f>A249&amp;B249&amp;C249&amp;E249&amp;G249&amp;EDATE(J249,0)</f>
        <v/>
      </c>
      <c r="Q249" s="71">
        <f>IF(A249=0,"",VLOOKUP($A249,RESUMO!$A$8:$B$83,2,FALSE))</f>
        <v/>
      </c>
    </row>
    <row r="250">
      <c r="A250" s="39" t="n">
        <v>45646</v>
      </c>
      <c r="B250" s="53" t="n">
        <v>5</v>
      </c>
      <c r="C250" t="inlineStr">
        <is>
          <t>17469701000177</t>
        </is>
      </c>
      <c r="D250" t="inlineStr">
        <is>
          <t>ARCELORMITTAL BRASIL</t>
        </is>
      </c>
      <c r="E250" t="inlineStr">
        <is>
          <t>AÇO - AGUARDANDO NF</t>
        </is>
      </c>
      <c r="G250" s="78" t="n">
        <v>35747.06</v>
      </c>
      <c r="H250" t="n">
        <v>1</v>
      </c>
      <c r="I250" s="78" t="n">
        <v>35747.06</v>
      </c>
      <c r="J250" s="39" t="inlineStr">
        <is>
          <t>05/12/2024</t>
        </is>
      </c>
      <c r="K250" t="inlineStr">
        <is>
          <t>MAT</t>
        </is>
      </c>
      <c r="L250" t="inlineStr">
        <is>
          <t>PIX: 17469701000177</t>
        </is>
      </c>
      <c r="N250">
        <f>IF(ISERROR(SEARCH("NF",E250,1)),"NÃO","SIM")</f>
        <v/>
      </c>
      <c r="O250">
        <f>IF($B250=5,"SIM","")</f>
        <v/>
      </c>
      <c r="P250" s="81">
        <f>A250&amp;B250&amp;C250&amp;E250&amp;G250&amp;EDATE(J250,0)</f>
        <v/>
      </c>
      <c r="Q250" s="71">
        <f>IF(A250=0,"",VLOOKUP($A250,RESUMO!$A$8:$B$83,2,FALSE))</f>
        <v/>
      </c>
    </row>
    <row r="251">
      <c r="A251" s="39" t="n">
        <v>45646</v>
      </c>
      <c r="B251" s="53" t="n">
        <v>5</v>
      </c>
      <c r="C251" t="inlineStr">
        <is>
          <t>17581836000634</t>
        </is>
      </c>
      <c r="D251" t="inlineStr">
        <is>
          <t>LOJA DO PAULO</t>
        </is>
      </c>
      <c r="E251" t="inlineStr">
        <is>
          <t>CARREGADOR E PILHA RECARREGAVEL - NF 23724</t>
        </is>
      </c>
      <c r="G251" s="78" t="n">
        <v>177.5</v>
      </c>
      <c r="H251" t="n">
        <v>1</v>
      </c>
      <c r="I251" s="78" t="n">
        <v>177.5</v>
      </c>
      <c r="J251" s="39" t="inlineStr">
        <is>
          <t>09/12/2024</t>
        </is>
      </c>
      <c r="K251" t="inlineStr">
        <is>
          <t>MAT</t>
        </is>
      </c>
      <c r="L251" t="inlineStr">
        <is>
          <t>-</t>
        </is>
      </c>
      <c r="N251">
        <f>IF(ISERROR(SEARCH("NF",E251,1)),"NÃO","SIM")</f>
        <v/>
      </c>
      <c r="O251">
        <f>IF($B251=5,"SIM","")</f>
        <v/>
      </c>
      <c r="P251" s="81">
        <f>A251&amp;B251&amp;C251&amp;E251&amp;G251&amp;EDATE(J251,0)</f>
        <v/>
      </c>
      <c r="Q251" s="71">
        <f>IF(A251=0,"",VLOOKUP($A251,RESUMO!$A$8:$B$83,2,FALSE))</f>
        <v/>
      </c>
    </row>
    <row r="252">
      <c r="A252" s="39" t="n">
        <v>45646</v>
      </c>
      <c r="B252" s="53" t="n">
        <v>5</v>
      </c>
      <c r="C252" t="inlineStr">
        <is>
          <t>13938283000169</t>
        </is>
      </c>
      <c r="D252" t="inlineStr">
        <is>
          <t>BETON MIX</t>
        </is>
      </c>
      <c r="E252" t="inlineStr">
        <is>
          <t>CONCRETAGEM - AGUARDANDO NF</t>
        </is>
      </c>
      <c r="G252" s="78" t="n">
        <v>32600</v>
      </c>
      <c r="H252" t="n">
        <v>1</v>
      </c>
      <c r="I252" s="78" t="n">
        <v>32600</v>
      </c>
      <c r="J252" s="39" t="inlineStr">
        <is>
          <t>09/12/2024</t>
        </is>
      </c>
      <c r="K252" t="inlineStr">
        <is>
          <t>MAT</t>
        </is>
      </c>
      <c r="L252" t="inlineStr">
        <is>
          <t>-</t>
        </is>
      </c>
      <c r="N252">
        <f>IF(ISERROR(SEARCH("NF",E252,1)),"NÃO","SIM")</f>
        <v/>
      </c>
      <c r="O252">
        <f>IF($B252=5,"SIM","")</f>
        <v/>
      </c>
      <c r="P252" s="81">
        <f>A252&amp;B252&amp;C252&amp;E252&amp;G252&amp;EDATE(J252,0)</f>
        <v/>
      </c>
      <c r="Q252" s="71">
        <f>IF(A252=0,"",VLOOKUP($A252,RESUMO!$A$8:$B$83,2,FALSE))</f>
        <v/>
      </c>
    </row>
    <row r="253">
      <c r="A253" s="39" t="n">
        <v>45646</v>
      </c>
      <c r="B253" s="53" t="n">
        <v>5</v>
      </c>
      <c r="C253" t="inlineStr">
        <is>
          <t>17194994000127</t>
        </is>
      </c>
      <c r="D253" t="inlineStr">
        <is>
          <t>MINAS FERRAMENTAS LTDA</t>
        </is>
      </c>
      <c r="E253" t="inlineStr">
        <is>
          <t>NIVEL A LASER</t>
        </is>
      </c>
      <c r="G253" s="78" t="n">
        <v>619.91</v>
      </c>
      <c r="H253" t="n">
        <v>1</v>
      </c>
      <c r="I253" s="78" t="n">
        <v>619.91</v>
      </c>
      <c r="J253" s="39" t="inlineStr">
        <is>
          <t>09/12/2024</t>
        </is>
      </c>
      <c r="K253" t="inlineStr">
        <is>
          <t>MAT</t>
        </is>
      </c>
      <c r="L253" t="inlineStr">
        <is>
          <t>-</t>
        </is>
      </c>
      <c r="N253">
        <f>IF(ISERROR(SEARCH("NF",E253,1)),"NÃO","SIM")</f>
        <v/>
      </c>
      <c r="O253">
        <f>IF($B253=5,"SIM","")</f>
        <v/>
      </c>
      <c r="P253" s="81">
        <f>A253&amp;B253&amp;C253&amp;E253&amp;G253&amp;EDATE(J253,0)</f>
        <v/>
      </c>
      <c r="Q253" s="71">
        <f>IF(A253=0,"",VLOOKUP($A253,RESUMO!$A$8:$B$83,2,FALSE))</f>
        <v/>
      </c>
    </row>
    <row r="254">
      <c r="A254" s="39" t="n">
        <v>45646</v>
      </c>
      <c r="B254" s="53" t="n">
        <v>5</v>
      </c>
      <c r="C254" t="inlineStr">
        <is>
          <t>13938283000169</t>
        </is>
      </c>
      <c r="D254" t="inlineStr">
        <is>
          <t>BETON MIX</t>
        </is>
      </c>
      <c r="E254" t="inlineStr">
        <is>
          <t>CONCRETAGEM - NF 1799</t>
        </is>
      </c>
      <c r="G254" s="78" t="n">
        <v>39650</v>
      </c>
      <c r="H254" t="n">
        <v>1</v>
      </c>
      <c r="I254" s="78" t="n">
        <v>39650</v>
      </c>
      <c r="J254" s="39" t="inlineStr">
        <is>
          <t>27/11/2024</t>
        </is>
      </c>
      <c r="K254" t="inlineStr">
        <is>
          <t>MAT</t>
        </is>
      </c>
      <c r="L254" t="inlineStr">
        <is>
          <t>-</t>
        </is>
      </c>
      <c r="N254">
        <f>IF(ISERROR(SEARCH("NF",E254,1)),"NÃO","SIM")</f>
        <v/>
      </c>
      <c r="O254">
        <f>IF($B254=5,"SIM","")</f>
        <v/>
      </c>
      <c r="P254" s="81">
        <f>A254&amp;B254&amp;C254&amp;E254&amp;G254&amp;EDATE(J254,0)</f>
        <v/>
      </c>
      <c r="Q254" s="71">
        <f>IF(A254=0,"",VLOOKUP($A254,RESUMO!$A$8:$B$83,2,FALSE))</f>
        <v/>
      </c>
    </row>
    <row r="255">
      <c r="A255" s="39" t="n">
        <v>45646</v>
      </c>
      <c r="B255" t="n">
        <v>7</v>
      </c>
      <c r="C255" t="inlineStr">
        <is>
          <t>30104762000107</t>
        </is>
      </c>
      <c r="D255" t="inlineStr">
        <is>
          <t>VASCONCELOS &amp; RINALDI ENGENHARIA</t>
        </is>
      </c>
      <c r="E255" t="inlineStr">
        <is>
          <t>ADM 13.0%</t>
        </is>
      </c>
      <c r="G255" s="78" t="n">
        <v>26962.54</v>
      </c>
      <c r="H255" t="n">
        <v>1</v>
      </c>
      <c r="I255" s="78" t="n">
        <v>26962.54</v>
      </c>
      <c r="J255" s="39" t="n">
        <v>45646</v>
      </c>
      <c r="K255" t="inlineStr">
        <is>
          <t>ADM</t>
        </is>
      </c>
      <c r="L255" t="inlineStr">
        <is>
          <t>PIX: 30104762000107</t>
        </is>
      </c>
      <c r="N255">
        <f>IF(ISERROR(SEARCH("NF",E255,1)),"NÃO","SIM")</f>
        <v/>
      </c>
      <c r="O255">
        <f>IF($B255=5,"SIM","")</f>
        <v/>
      </c>
      <c r="P255" s="81">
        <f>A255&amp;B255&amp;C255&amp;E255&amp;G255&amp;EDATE(J255,0)</f>
        <v/>
      </c>
      <c r="Q255" s="71">
        <f>IF(A255=0,"",VLOOKUP($A255,RESUMO!$A$8:$B$83,2,FALSE))</f>
        <v/>
      </c>
    </row>
    <row r="256">
      <c r="A256" s="39" t="n">
        <v>45662</v>
      </c>
      <c r="B256" s="53" t="n">
        <v>1</v>
      </c>
      <c r="C256" t="inlineStr">
        <is>
          <t>00007573876670</t>
        </is>
      </c>
      <c r="D256" t="inlineStr">
        <is>
          <t>BRUNO JUNIO DA SILVA</t>
        </is>
      </c>
      <c r="E256" t="inlineStr">
        <is>
          <t>SALÁRIO</t>
        </is>
      </c>
      <c r="G256" s="78" t="n">
        <v>2480.11</v>
      </c>
      <c r="H256" t="n">
        <v>1</v>
      </c>
      <c r="I256" s="78" t="n">
        <v>2480.11</v>
      </c>
      <c r="J256" s="39" t="n">
        <v>45664</v>
      </c>
      <c r="K256" t="inlineStr">
        <is>
          <t>MO</t>
        </is>
      </c>
      <c r="L256" t="inlineStr">
        <is>
          <t>PIX: 07573876670</t>
        </is>
      </c>
      <c r="N256">
        <f>IF(F256="","NÃO","SIM")</f>
        <v/>
      </c>
      <c r="O256">
        <f>IF($B256=5,"SIM","")</f>
        <v/>
      </c>
      <c r="P256" s="81">
        <f>A256&amp;B256&amp;C256&amp;E256&amp;G256&amp;EDATE(J256,0)</f>
        <v/>
      </c>
      <c r="Q256" s="71">
        <f>IF(A256=0,"",VLOOKUP($A256,RESUMO!$A$8:$B$83,2,FALSE))</f>
        <v/>
      </c>
    </row>
    <row r="257">
      <c r="A257" s="39" t="n">
        <v>45662</v>
      </c>
      <c r="B257" s="53" t="n">
        <v>1</v>
      </c>
      <c r="C257" t="inlineStr">
        <is>
          <t>00007573876670</t>
        </is>
      </c>
      <c r="D257" t="inlineStr">
        <is>
          <t>BRUNO JUNIO DA SILVA</t>
        </is>
      </c>
      <c r="E257" t="inlineStr">
        <is>
          <t>TRANSPORTE</t>
        </is>
      </c>
      <c r="G257" s="78" t="n">
        <v>40.8</v>
      </c>
      <c r="H257" t="n">
        <v>20</v>
      </c>
      <c r="I257" s="78" t="n">
        <v>816</v>
      </c>
      <c r="J257" s="39" t="n">
        <v>45664</v>
      </c>
      <c r="K257" t="inlineStr">
        <is>
          <t>MO</t>
        </is>
      </c>
      <c r="L257" t="inlineStr">
        <is>
          <t>PIX: 07573876670</t>
        </is>
      </c>
      <c r="N257">
        <f>IF(F257="","NÃO","SIM")</f>
        <v/>
      </c>
      <c r="O257">
        <f>IF($B257=5,"SIM","")</f>
        <v/>
      </c>
      <c r="P257" s="81">
        <f>A257&amp;B257&amp;C257&amp;E257&amp;G257&amp;EDATE(J257,0)</f>
        <v/>
      </c>
      <c r="Q257" s="71">
        <f>IF(A257=0,"",VLOOKUP($A257,RESUMO!$A$8:$B$83,2,FALSE))</f>
        <v/>
      </c>
    </row>
    <row r="258">
      <c r="A258" s="39" t="n">
        <v>45662</v>
      </c>
      <c r="B258" s="53" t="n">
        <v>1</v>
      </c>
      <c r="C258" t="inlineStr">
        <is>
          <t>00007573876670</t>
        </is>
      </c>
      <c r="D258" t="inlineStr">
        <is>
          <t>BRUNO JUNIO DA SILVA</t>
        </is>
      </c>
      <c r="E258" t="inlineStr">
        <is>
          <t>CAFÉ</t>
        </is>
      </c>
      <c r="G258" s="78" t="n">
        <v>4</v>
      </c>
      <c r="H258" t="n">
        <v>20</v>
      </c>
      <c r="I258" s="78" t="n">
        <v>80</v>
      </c>
      <c r="J258" s="39" t="n">
        <v>45664</v>
      </c>
      <c r="K258" t="inlineStr">
        <is>
          <t>MO</t>
        </is>
      </c>
      <c r="L258" t="inlineStr">
        <is>
          <t>PIX: 07573876670</t>
        </is>
      </c>
      <c r="N258">
        <f>IF(F258="","NÃO","SIM")</f>
        <v/>
      </c>
      <c r="O258">
        <f>IF($B258=5,"SIM","")</f>
        <v/>
      </c>
      <c r="P258" s="81">
        <f>A258&amp;B258&amp;C258&amp;E258&amp;G258&amp;EDATE(J258,0)</f>
        <v/>
      </c>
      <c r="Q258" s="71">
        <f>IF(A258=0,"",VLOOKUP($A258,RESUMO!$A$8:$B$83,2,FALSE))</f>
        <v/>
      </c>
    </row>
    <row r="259">
      <c r="A259" s="39" t="n">
        <v>45662</v>
      </c>
      <c r="B259" s="53" t="n">
        <v>1</v>
      </c>
      <c r="C259" t="inlineStr">
        <is>
          <t>00000354432605</t>
        </is>
      </c>
      <c r="D259" t="inlineStr">
        <is>
          <t>ANTONIO DUTRA DE FREITAS</t>
        </is>
      </c>
      <c r="E259" t="inlineStr">
        <is>
          <t>SALÁRIO</t>
        </is>
      </c>
      <c r="G259" s="78" t="n">
        <v>1426.95</v>
      </c>
      <c r="H259" t="n">
        <v>1</v>
      </c>
      <c r="I259" s="78" t="n">
        <v>1426.95</v>
      </c>
      <c r="J259" s="39" t="n">
        <v>45664</v>
      </c>
      <c r="K259" t="inlineStr">
        <is>
          <t>MO</t>
        </is>
      </c>
      <c r="L259" t="inlineStr">
        <is>
          <t>PIX: 31982618378</t>
        </is>
      </c>
      <c r="N259">
        <f>IF(F259="","NÃO","SIM")</f>
        <v/>
      </c>
      <c r="O259">
        <f>IF($B259=5,"SIM","")</f>
        <v/>
      </c>
      <c r="P259" s="81">
        <f>A259&amp;B259&amp;C259&amp;E259&amp;G259&amp;EDATE(J259,0)</f>
        <v/>
      </c>
      <c r="Q259" s="71">
        <f>IF(A259=0,"",VLOOKUP($A259,RESUMO!$A$8:$B$83,2,FALSE))</f>
        <v/>
      </c>
    </row>
    <row r="260">
      <c r="A260" s="39" t="n">
        <v>45662</v>
      </c>
      <c r="B260" s="53" t="n">
        <v>1</v>
      </c>
      <c r="C260" t="inlineStr">
        <is>
          <t>00000354432605</t>
        </is>
      </c>
      <c r="D260" t="inlineStr">
        <is>
          <t>ANTONIO DUTRA DE FREITAS</t>
        </is>
      </c>
      <c r="E260" t="inlineStr">
        <is>
          <t>TRANSPORTE</t>
        </is>
      </c>
      <c r="G260" s="78" t="n">
        <v>40.8</v>
      </c>
      <c r="H260" t="n">
        <v>20</v>
      </c>
      <c r="I260" s="78" t="n">
        <v>816</v>
      </c>
      <c r="J260" s="39" t="n">
        <v>45664</v>
      </c>
      <c r="K260" t="inlineStr">
        <is>
          <t>MO</t>
        </is>
      </c>
      <c r="L260" t="inlineStr">
        <is>
          <t>PIX: 31982618378</t>
        </is>
      </c>
      <c r="N260">
        <f>IF(F260="","NÃO","SIM")</f>
        <v/>
      </c>
      <c r="O260">
        <f>IF($B260=5,"SIM","")</f>
        <v/>
      </c>
      <c r="P260" s="81">
        <f>A260&amp;B260&amp;C260&amp;E260&amp;G260&amp;EDATE(J260,0)</f>
        <v/>
      </c>
      <c r="Q260" s="71">
        <f>IF(A260=0,"",VLOOKUP($A260,RESUMO!$A$8:$B$83,2,FALSE))</f>
        <v/>
      </c>
    </row>
    <row r="261">
      <c r="A261" s="39" t="n">
        <v>45662</v>
      </c>
      <c r="B261" s="53" t="n">
        <v>1</v>
      </c>
      <c r="C261" t="inlineStr">
        <is>
          <t>00000354432605</t>
        </is>
      </c>
      <c r="D261" t="inlineStr">
        <is>
          <t>ANTONIO DUTRA DE FREITAS</t>
        </is>
      </c>
      <c r="E261" t="inlineStr">
        <is>
          <t>CAFÉ</t>
        </is>
      </c>
      <c r="G261" s="78" t="n">
        <v>4</v>
      </c>
      <c r="H261" t="n">
        <v>20</v>
      </c>
      <c r="I261" s="78" t="n">
        <v>80</v>
      </c>
      <c r="J261" s="39" t="n">
        <v>45664</v>
      </c>
      <c r="K261" t="inlineStr">
        <is>
          <t>MO</t>
        </is>
      </c>
      <c r="L261" t="inlineStr">
        <is>
          <t>PIX: 31982618378</t>
        </is>
      </c>
      <c r="N261">
        <f>IF(F261="","NÃO","SIM")</f>
        <v/>
      </c>
      <c r="O261">
        <f>IF($B261=5,"SIM","")</f>
        <v/>
      </c>
      <c r="P261" s="81">
        <f>A261&amp;B261&amp;C261&amp;E261&amp;G261&amp;EDATE(J261,0)</f>
        <v/>
      </c>
      <c r="Q261" s="71">
        <f>IF(A261=0,"",VLOOKUP($A261,RESUMO!$A$8:$B$83,2,FALSE))</f>
        <v/>
      </c>
    </row>
    <row r="262">
      <c r="A262" s="39" t="n">
        <v>45662</v>
      </c>
      <c r="B262" s="53" t="n">
        <v>1</v>
      </c>
      <c r="C262" t="inlineStr">
        <is>
          <t>00007249031600</t>
        </is>
      </c>
      <c r="D262" t="inlineStr">
        <is>
          <t>EDER PEREIRA DA SILVA</t>
        </is>
      </c>
      <c r="E262" t="inlineStr">
        <is>
          <t>SALÁRIO</t>
        </is>
      </c>
      <c r="G262" s="78" t="n">
        <v>1426.95</v>
      </c>
      <c r="H262" t="n">
        <v>1</v>
      </c>
      <c r="I262" s="78" t="n">
        <v>1426.95</v>
      </c>
      <c r="J262" s="39" t="n">
        <v>45664</v>
      </c>
      <c r="K262" t="inlineStr">
        <is>
          <t>MO</t>
        </is>
      </c>
      <c r="L262" t="inlineStr">
        <is>
          <t>PIX: 07249031600</t>
        </is>
      </c>
      <c r="N262">
        <f>IF(F262="","NÃO","SIM")</f>
        <v/>
      </c>
      <c r="O262">
        <f>IF($B262=5,"SIM","")</f>
        <v/>
      </c>
      <c r="P262" s="81">
        <f>A262&amp;B262&amp;C262&amp;E262&amp;G262&amp;EDATE(J262,0)</f>
        <v/>
      </c>
      <c r="Q262" s="71">
        <f>IF(A262=0,"",VLOOKUP($A262,RESUMO!$A$8:$B$83,2,FALSE))</f>
        <v/>
      </c>
    </row>
    <row r="263">
      <c r="A263" s="39" t="n">
        <v>45662</v>
      </c>
      <c r="B263" s="53" t="n">
        <v>1</v>
      </c>
      <c r="C263" t="inlineStr">
        <is>
          <t>00007249031600</t>
        </is>
      </c>
      <c r="D263" t="inlineStr">
        <is>
          <t>EDER PEREIRA DA SILVA</t>
        </is>
      </c>
      <c r="E263" t="inlineStr">
        <is>
          <t>TRANSPORTE</t>
        </is>
      </c>
      <c r="G263" s="78" t="n">
        <v>40.8</v>
      </c>
      <c r="H263" t="n">
        <v>20</v>
      </c>
      <c r="I263" s="78" t="n">
        <v>816</v>
      </c>
      <c r="J263" s="39" t="n">
        <v>45664</v>
      </c>
      <c r="K263" t="inlineStr">
        <is>
          <t>MO</t>
        </is>
      </c>
      <c r="L263" t="inlineStr">
        <is>
          <t>PIX: 07249031600</t>
        </is>
      </c>
      <c r="N263">
        <f>IF(F263="","NÃO","SIM")</f>
        <v/>
      </c>
      <c r="O263">
        <f>IF($B263=5,"SIM","")</f>
        <v/>
      </c>
      <c r="P263" s="81">
        <f>A263&amp;B263&amp;C263&amp;E263&amp;G263&amp;EDATE(J263,0)</f>
        <v/>
      </c>
      <c r="Q263" s="71">
        <f>IF(A263=0,"",VLOOKUP($A263,RESUMO!$A$8:$B$83,2,FALSE))</f>
        <v/>
      </c>
    </row>
    <row r="264">
      <c r="A264" s="39" t="n">
        <v>45662</v>
      </c>
      <c r="B264" s="53" t="n">
        <v>1</v>
      </c>
      <c r="C264" t="inlineStr">
        <is>
          <t>00007249031600</t>
        </is>
      </c>
      <c r="D264" t="inlineStr">
        <is>
          <t>EDER PEREIRA DA SILVA</t>
        </is>
      </c>
      <c r="E264" t="inlineStr">
        <is>
          <t>CAFÉ</t>
        </is>
      </c>
      <c r="G264" s="78" t="n">
        <v>4</v>
      </c>
      <c r="H264" t="n">
        <v>20</v>
      </c>
      <c r="I264" s="78" t="n">
        <v>80</v>
      </c>
      <c r="J264" s="39" t="n">
        <v>45664</v>
      </c>
      <c r="K264" t="inlineStr">
        <is>
          <t>MO</t>
        </is>
      </c>
      <c r="L264" t="inlineStr">
        <is>
          <t>PIX: 07249031600</t>
        </is>
      </c>
      <c r="N264">
        <f>IF(F264="","NÃO","SIM")</f>
        <v/>
      </c>
      <c r="O264">
        <f>IF($B264=5,"SIM","")</f>
        <v/>
      </c>
      <c r="P264" s="81">
        <f>A264&amp;B264&amp;C264&amp;E264&amp;G264&amp;EDATE(J264,0)</f>
        <v/>
      </c>
      <c r="Q264" s="71">
        <f>IF(A264=0,"",VLOOKUP($A264,RESUMO!$A$8:$B$83,2,FALSE))</f>
        <v/>
      </c>
    </row>
    <row r="265">
      <c r="A265" s="39" t="n">
        <v>45662</v>
      </c>
      <c r="B265" s="53" t="n">
        <v>1</v>
      </c>
      <c r="C265" t="inlineStr">
        <is>
          <t>00014758063613</t>
        </is>
      </c>
      <c r="D265" t="inlineStr">
        <is>
          <t>IZAEL BISPO OLIVEIRA</t>
        </is>
      </c>
      <c r="E265" t="inlineStr">
        <is>
          <t>SALÁRIO</t>
        </is>
      </c>
      <c r="G265" s="78" t="n">
        <v>1262.25</v>
      </c>
      <c r="H265" t="n">
        <v>1</v>
      </c>
      <c r="I265" s="78" t="n">
        <v>1262.25</v>
      </c>
      <c r="J265" s="39" t="n">
        <v>45664</v>
      </c>
      <c r="K265" t="inlineStr">
        <is>
          <t>MO</t>
        </is>
      </c>
      <c r="L265" t="inlineStr">
        <is>
          <t>PIX: 14758063613</t>
        </is>
      </c>
      <c r="N265">
        <f>IF(F265="","NÃO","SIM")</f>
        <v/>
      </c>
      <c r="O265">
        <f>IF($B265=5,"SIM","")</f>
        <v/>
      </c>
      <c r="P265" s="81">
        <f>A265&amp;B265&amp;C265&amp;E265&amp;G265&amp;EDATE(J265,0)</f>
        <v/>
      </c>
      <c r="Q265" s="71">
        <f>IF(A265=0,"",VLOOKUP($A265,RESUMO!$A$8:$B$83,2,FALSE))</f>
        <v/>
      </c>
    </row>
    <row r="266">
      <c r="A266" s="39" t="n">
        <v>45662</v>
      </c>
      <c r="B266" s="53" t="n">
        <v>1</v>
      </c>
      <c r="C266" t="inlineStr">
        <is>
          <t>00014758063613</t>
        </is>
      </c>
      <c r="D266" t="inlineStr">
        <is>
          <t>IZAEL BISPO OLIVEIRA</t>
        </is>
      </c>
      <c r="E266" t="inlineStr">
        <is>
          <t>TRANSPORTE</t>
        </is>
      </c>
      <c r="G266" s="78" t="n">
        <v>42.3</v>
      </c>
      <c r="H266" t="n">
        <v>19</v>
      </c>
      <c r="I266" s="78" t="n">
        <v>803.7</v>
      </c>
      <c r="J266" s="39" t="n">
        <v>45664</v>
      </c>
      <c r="K266" t="inlineStr">
        <is>
          <t>MO</t>
        </is>
      </c>
      <c r="L266" t="inlineStr">
        <is>
          <t>PIX: 14758063613</t>
        </is>
      </c>
      <c r="N266">
        <f>IF(F266="","NÃO","SIM")</f>
        <v/>
      </c>
      <c r="O266">
        <f>IF($B266=5,"SIM","")</f>
        <v/>
      </c>
      <c r="P266" s="81">
        <f>A266&amp;B266&amp;C266&amp;E266&amp;G266&amp;EDATE(J266,0)</f>
        <v/>
      </c>
      <c r="Q266" s="71">
        <f>IF(A266=0,"",VLOOKUP($A266,RESUMO!$A$8:$B$83,2,FALSE))</f>
        <v/>
      </c>
    </row>
    <row r="267">
      <c r="A267" s="39" t="n">
        <v>45662</v>
      </c>
      <c r="B267" s="53" t="n">
        <v>1</v>
      </c>
      <c r="C267" t="inlineStr">
        <is>
          <t>00014758063613</t>
        </is>
      </c>
      <c r="D267" t="inlineStr">
        <is>
          <t>IZAEL BISPO OLIVEIRA</t>
        </is>
      </c>
      <c r="E267" t="inlineStr">
        <is>
          <t>CAFÉ</t>
        </is>
      </c>
      <c r="G267" s="78" t="n">
        <v>4</v>
      </c>
      <c r="H267" t="n">
        <v>19</v>
      </c>
      <c r="I267" s="78" t="n">
        <v>76</v>
      </c>
      <c r="J267" s="39" t="n">
        <v>45664</v>
      </c>
      <c r="K267" t="inlineStr">
        <is>
          <t>MO</t>
        </is>
      </c>
      <c r="L267" t="inlineStr">
        <is>
          <t>PIX: 14758063613</t>
        </is>
      </c>
      <c r="N267">
        <f>IF(F267="","NÃO","SIM")</f>
        <v/>
      </c>
      <c r="O267">
        <f>IF($B267=5,"SIM","")</f>
        <v/>
      </c>
      <c r="P267" s="81">
        <f>A267&amp;B267&amp;C267&amp;E267&amp;G267&amp;EDATE(J267,0)</f>
        <v/>
      </c>
      <c r="Q267" s="71">
        <f>IF(A267=0,"",VLOOKUP($A267,RESUMO!$A$8:$B$83,2,FALSE))</f>
        <v/>
      </c>
    </row>
    <row r="268">
      <c r="A268" s="39" t="n">
        <v>45662</v>
      </c>
      <c r="B268" s="53" t="n">
        <v>1</v>
      </c>
      <c r="C268" t="inlineStr">
        <is>
          <t>00085086894387</t>
        </is>
      </c>
      <c r="D268" t="inlineStr">
        <is>
          <t>ROBERVAL PORTACIO DOS SANTOS</t>
        </is>
      </c>
      <c r="E268" t="inlineStr">
        <is>
          <t>SALÁRIO</t>
        </is>
      </c>
      <c r="G268" s="78" t="n">
        <v>792.01</v>
      </c>
      <c r="H268" t="n">
        <v>1</v>
      </c>
      <c r="I268" s="78" t="n">
        <v>792.01</v>
      </c>
      <c r="J268" s="39" t="n">
        <v>45664</v>
      </c>
      <c r="K268" t="inlineStr">
        <is>
          <t>MO</t>
        </is>
      </c>
      <c r="L268" t="inlineStr">
        <is>
          <t>PIX: 31971706400</t>
        </is>
      </c>
      <c r="N268">
        <f>IF(F268="","NÃO","SIM")</f>
        <v/>
      </c>
      <c r="O268">
        <f>IF($B268=5,"SIM","")</f>
        <v/>
      </c>
      <c r="P268" s="81">
        <f>A268&amp;B268&amp;C268&amp;E268&amp;G268&amp;EDATE(J268,0)</f>
        <v/>
      </c>
      <c r="Q268" s="71">
        <f>IF(A268=0,"",VLOOKUP($A268,RESUMO!$A$8:$B$83,2,FALSE))</f>
        <v/>
      </c>
    </row>
    <row r="269">
      <c r="A269" s="39" t="n">
        <v>45662</v>
      </c>
      <c r="B269" s="53" t="n">
        <v>1</v>
      </c>
      <c r="C269" t="inlineStr">
        <is>
          <t>85086894387</t>
        </is>
      </c>
      <c r="D269" t="inlineStr">
        <is>
          <t>ROBERVAL PORTACIO DOS SANTOS</t>
        </is>
      </c>
      <c r="E269" t="inlineStr">
        <is>
          <t>TRANSPORTE</t>
        </is>
      </c>
      <c r="G269" s="78" t="n">
        <v>40.8</v>
      </c>
      <c r="H269" t="n">
        <v>19</v>
      </c>
      <c r="I269" s="78" t="n">
        <v>775.2</v>
      </c>
      <c r="J269" s="39" t="n">
        <v>45664</v>
      </c>
      <c r="K269" t="inlineStr">
        <is>
          <t>MO</t>
        </is>
      </c>
      <c r="L269" t="inlineStr">
        <is>
          <t>PIX: 31971706400</t>
        </is>
      </c>
      <c r="N269">
        <f>IF(F269="","NÃO","SIM")</f>
        <v/>
      </c>
      <c r="O269">
        <f>IF($B269=5,"SIM","")</f>
        <v/>
      </c>
      <c r="P269" s="81">
        <f>A269&amp;B269&amp;C269&amp;E269&amp;G269&amp;EDATE(J269,0)</f>
        <v/>
      </c>
      <c r="Q269" s="71">
        <f>IF(A269=0,"",VLOOKUP($A269,RESUMO!$A$8:$B$83,2,FALSE))</f>
        <v/>
      </c>
    </row>
    <row r="270">
      <c r="A270" s="39" t="n">
        <v>45662</v>
      </c>
      <c r="B270" s="53" t="n">
        <v>1</v>
      </c>
      <c r="C270" t="inlineStr">
        <is>
          <t>85086894387</t>
        </is>
      </c>
      <c r="D270" t="inlineStr">
        <is>
          <t>ROBERVAL PORTACIO DOS SANTOS</t>
        </is>
      </c>
      <c r="E270" t="inlineStr">
        <is>
          <t>CAFÉ</t>
        </is>
      </c>
      <c r="G270" s="78" t="n">
        <v>4</v>
      </c>
      <c r="H270" t="n">
        <v>19</v>
      </c>
      <c r="I270" s="78" t="n">
        <v>76</v>
      </c>
      <c r="J270" s="39" t="n">
        <v>45664</v>
      </c>
      <c r="K270" t="inlineStr">
        <is>
          <t>MO</t>
        </is>
      </c>
      <c r="L270" t="inlineStr">
        <is>
          <t>PIX: 31971706400</t>
        </is>
      </c>
      <c r="N270">
        <f>IF(F270="","NÃO","SIM")</f>
        <v/>
      </c>
      <c r="O270">
        <f>IF($B270=5,"SIM","")</f>
        <v/>
      </c>
      <c r="P270" s="81">
        <f>A270&amp;B270&amp;C270&amp;E270&amp;G270&amp;EDATE(J270,0)</f>
        <v/>
      </c>
      <c r="Q270" s="71">
        <f>IF(A270=0,"",VLOOKUP($A270,RESUMO!$A$8:$B$83,2,FALSE))</f>
        <v/>
      </c>
    </row>
    <row r="271">
      <c r="A271" s="39" t="n">
        <v>45662</v>
      </c>
      <c r="B271" s="53" t="n">
        <v>1</v>
      </c>
      <c r="C271" t="inlineStr">
        <is>
          <t>00087942119653</t>
        </is>
      </c>
      <c r="D271" t="inlineStr">
        <is>
          <t>DOMINGOS DA SILVA LIMA</t>
        </is>
      </c>
      <c r="E271" t="inlineStr">
        <is>
          <t>SALÁRIO</t>
        </is>
      </c>
      <c r="G271" s="78" t="n">
        <v>840.75</v>
      </c>
      <c r="H271" t="n">
        <v>1</v>
      </c>
      <c r="I271" s="78" t="n">
        <v>840.75</v>
      </c>
      <c r="J271" s="39" t="n">
        <v>45664</v>
      </c>
      <c r="K271" t="inlineStr">
        <is>
          <t>MO</t>
        </is>
      </c>
      <c r="L271" t="inlineStr">
        <is>
          <t>CEF 13 - 892 00113057-1</t>
        </is>
      </c>
      <c r="N271">
        <f>IF(F271="","NÃO","SIM")</f>
        <v/>
      </c>
      <c r="O271">
        <f>IF($B271=5,"SIM","")</f>
        <v/>
      </c>
      <c r="P271" s="81">
        <f>A271&amp;B271&amp;C271&amp;E271&amp;G271&amp;EDATE(J271,0)</f>
        <v/>
      </c>
      <c r="Q271" s="71">
        <f>IF(A271=0,"",VLOOKUP($A271,RESUMO!$A$8:$B$83,2,FALSE))</f>
        <v/>
      </c>
    </row>
    <row r="272">
      <c r="A272" s="39" t="n">
        <v>45662</v>
      </c>
      <c r="B272" s="53" t="n">
        <v>1</v>
      </c>
      <c r="C272" t="inlineStr">
        <is>
          <t>00087942119653</t>
        </is>
      </c>
      <c r="D272" t="inlineStr">
        <is>
          <t>DOMINGOS DA SILVA LIMA</t>
        </is>
      </c>
      <c r="E272" t="inlineStr">
        <is>
          <t>TRANSPORTE</t>
        </is>
      </c>
      <c r="G272" s="78" t="n">
        <v>40.8</v>
      </c>
      <c r="H272" t="n">
        <v>20</v>
      </c>
      <c r="I272" s="78" t="n">
        <v>816</v>
      </c>
      <c r="J272" s="39" t="n">
        <v>45664</v>
      </c>
      <c r="K272" t="inlineStr">
        <is>
          <t>MO</t>
        </is>
      </c>
      <c r="L272" t="inlineStr">
        <is>
          <t>CEF 13 - 892 00113057-1</t>
        </is>
      </c>
      <c r="N272">
        <f>IF(F272="","NÃO","SIM")</f>
        <v/>
      </c>
      <c r="O272">
        <f>IF($B272=5,"SIM","")</f>
        <v/>
      </c>
      <c r="P272" s="81">
        <f>A272&amp;B272&amp;C272&amp;E272&amp;G272&amp;EDATE(J272,0)</f>
        <v/>
      </c>
      <c r="Q272" s="71">
        <f>IF(A272=0,"",VLOOKUP($A272,RESUMO!$A$8:$B$83,2,FALSE))</f>
        <v/>
      </c>
    </row>
    <row r="273">
      <c r="A273" s="39" t="n">
        <v>45662</v>
      </c>
      <c r="B273" s="53" t="n">
        <v>1</v>
      </c>
      <c r="C273" t="inlineStr">
        <is>
          <t>00087942119653</t>
        </is>
      </c>
      <c r="D273" t="inlineStr">
        <is>
          <t>DOMINGOS DA SILVA LIMA</t>
        </is>
      </c>
      <c r="E273" t="inlineStr">
        <is>
          <t>CAFÉ</t>
        </is>
      </c>
      <c r="G273" s="78" t="n">
        <v>4</v>
      </c>
      <c r="H273" t="n">
        <v>20</v>
      </c>
      <c r="I273" s="78" t="n">
        <v>80</v>
      </c>
      <c r="J273" s="39" t="n">
        <v>45664</v>
      </c>
      <c r="K273" t="inlineStr">
        <is>
          <t>MO</t>
        </is>
      </c>
      <c r="L273" t="inlineStr">
        <is>
          <t>CEF 13 - 892 00113057-1</t>
        </is>
      </c>
      <c r="N273">
        <f>IF(F273="","NÃO","SIM")</f>
        <v/>
      </c>
      <c r="O273">
        <f>IF($B273=5,"SIM","")</f>
        <v/>
      </c>
      <c r="P273" s="81">
        <f>A273&amp;B273&amp;C273&amp;E273&amp;G273&amp;EDATE(J273,0)</f>
        <v/>
      </c>
      <c r="Q273" s="71">
        <f>IF(A273=0,"",VLOOKUP($A273,RESUMO!$A$8:$B$83,2,FALSE))</f>
        <v/>
      </c>
    </row>
    <row r="274">
      <c r="A274" s="39" t="n">
        <v>45662</v>
      </c>
      <c r="B274" s="53" t="n">
        <v>1</v>
      </c>
      <c r="C274" t="inlineStr">
        <is>
          <t>00075746980315</t>
        </is>
      </c>
      <c r="D274" t="inlineStr">
        <is>
          <t>FRANCISCO REGO DA SILVA</t>
        </is>
      </c>
      <c r="E274" t="inlineStr">
        <is>
          <t>SALÁRIO</t>
        </is>
      </c>
      <c r="G274" s="78" t="n">
        <v>1189.08</v>
      </c>
      <c r="H274" t="n">
        <v>1</v>
      </c>
      <c r="I274" s="78" t="n">
        <v>1189.08</v>
      </c>
      <c r="J274" s="39" t="n">
        <v>45664</v>
      </c>
      <c r="K274" t="inlineStr">
        <is>
          <t>MO</t>
        </is>
      </c>
      <c r="L274" t="inlineStr">
        <is>
          <t>PIX: 75746980315</t>
        </is>
      </c>
      <c r="N274">
        <f>IF(F274="","NÃO","SIM")</f>
        <v/>
      </c>
      <c r="O274">
        <f>IF($B274=5,"SIM","")</f>
        <v/>
      </c>
      <c r="P274" s="81">
        <f>A274&amp;B274&amp;C274&amp;E274&amp;G274&amp;EDATE(J274,0)</f>
        <v/>
      </c>
      <c r="Q274" s="71">
        <f>IF(A274=0,"",VLOOKUP($A274,RESUMO!$A$8:$B$83,2,FALSE))</f>
        <v/>
      </c>
    </row>
    <row r="275">
      <c r="A275" s="39" t="n">
        <v>45662</v>
      </c>
      <c r="B275" s="53" t="n">
        <v>1</v>
      </c>
      <c r="C275" t="inlineStr">
        <is>
          <t>00075746980315</t>
        </is>
      </c>
      <c r="D275" t="inlineStr">
        <is>
          <t>FRANCISCO REGO DA SILVA</t>
        </is>
      </c>
      <c r="E275" t="inlineStr">
        <is>
          <t>TRANSPORTE</t>
        </is>
      </c>
      <c r="G275" s="78" t="n">
        <v>40.8</v>
      </c>
      <c r="H275" t="n">
        <v>20</v>
      </c>
      <c r="I275" s="78" t="n">
        <v>816</v>
      </c>
      <c r="J275" s="39" t="n">
        <v>45664</v>
      </c>
      <c r="K275" t="inlineStr">
        <is>
          <t>MO</t>
        </is>
      </c>
      <c r="L275" t="inlineStr">
        <is>
          <t>PIX: 75746980315</t>
        </is>
      </c>
      <c r="N275">
        <f>IF(F275="","NÃO","SIM")</f>
        <v/>
      </c>
      <c r="O275">
        <f>IF($B275=5,"SIM","")</f>
        <v/>
      </c>
      <c r="P275" s="81">
        <f>A275&amp;B275&amp;C275&amp;E275&amp;G275&amp;EDATE(J275,0)</f>
        <v/>
      </c>
      <c r="Q275" s="71">
        <f>IF(A275=0,"",VLOOKUP($A275,RESUMO!$A$8:$B$83,2,FALSE))</f>
        <v/>
      </c>
    </row>
    <row r="276">
      <c r="A276" s="39" t="n">
        <v>45662</v>
      </c>
      <c r="B276" s="53" t="n">
        <v>1</v>
      </c>
      <c r="C276" t="inlineStr">
        <is>
          <t>00075746980315</t>
        </is>
      </c>
      <c r="D276" t="inlineStr">
        <is>
          <t>FRANCISCO REGO DA SILVA</t>
        </is>
      </c>
      <c r="E276" t="inlineStr">
        <is>
          <t>CAFÉ</t>
        </is>
      </c>
      <c r="G276" s="78" t="n">
        <v>4</v>
      </c>
      <c r="H276" t="n">
        <v>20</v>
      </c>
      <c r="I276" s="78" t="n">
        <v>80</v>
      </c>
      <c r="J276" s="39" t="n">
        <v>45664</v>
      </c>
      <c r="K276" t="inlineStr">
        <is>
          <t>MO</t>
        </is>
      </c>
      <c r="L276" t="inlineStr">
        <is>
          <t>PIX: 75746980315</t>
        </is>
      </c>
      <c r="N276">
        <f>IF(F276="","NÃO","SIM")</f>
        <v/>
      </c>
      <c r="O276">
        <f>IF($B276=5,"SIM","")</f>
        <v/>
      </c>
      <c r="P276" s="81">
        <f>A276&amp;B276&amp;C276&amp;E276&amp;G276&amp;EDATE(J276,0)</f>
        <v/>
      </c>
      <c r="Q276" s="71">
        <f>IF(A276=0,"",VLOOKUP($A276,RESUMO!$A$8:$B$83,2,FALSE))</f>
        <v/>
      </c>
    </row>
    <row r="277">
      <c r="A277" s="39" t="n">
        <v>45662</v>
      </c>
      <c r="B277" s="53" t="n">
        <v>1</v>
      </c>
      <c r="C277" t="inlineStr">
        <is>
          <t>00001980098603</t>
        </is>
      </c>
      <c r="D277" t="inlineStr">
        <is>
          <t>LUCAS CATALUNHA DA SILVA</t>
        </is>
      </c>
      <c r="E277" t="inlineStr">
        <is>
          <t>SALÁRIO</t>
        </is>
      </c>
      <c r="G277" s="78" t="n">
        <v>840.75</v>
      </c>
      <c r="H277" t="n">
        <v>1</v>
      </c>
      <c r="I277" s="78" t="n">
        <v>840.75</v>
      </c>
      <c r="J277" s="39" t="n">
        <v>45664</v>
      </c>
      <c r="K277" t="inlineStr">
        <is>
          <t>MO</t>
        </is>
      </c>
      <c r="L277" t="inlineStr">
        <is>
          <t>PIX: 01980098603</t>
        </is>
      </c>
      <c r="N277">
        <f>IF(F277="","NÃO","SIM")</f>
        <v/>
      </c>
      <c r="O277">
        <f>IF($B277=5,"SIM","")</f>
        <v/>
      </c>
      <c r="P277" s="81">
        <f>A277&amp;B277&amp;C277&amp;E277&amp;G277&amp;EDATE(J277,0)</f>
        <v/>
      </c>
      <c r="Q277" s="71">
        <f>IF(A277=0,"",VLOOKUP($A277,RESUMO!$A$8:$B$83,2,FALSE))</f>
        <v/>
      </c>
    </row>
    <row r="278">
      <c r="A278" s="39" t="n">
        <v>45662</v>
      </c>
      <c r="B278" s="53" t="n">
        <v>1</v>
      </c>
      <c r="C278" t="inlineStr">
        <is>
          <t>00001980098603</t>
        </is>
      </c>
      <c r="D278" t="inlineStr">
        <is>
          <t>LUCAS CATALUNHA DA SILVA</t>
        </is>
      </c>
      <c r="E278" t="inlineStr">
        <is>
          <t>TRANSPORTE</t>
        </is>
      </c>
      <c r="G278" s="78" t="n">
        <v>40.8</v>
      </c>
      <c r="H278" t="n">
        <v>20</v>
      </c>
      <c r="I278" s="78" t="n">
        <v>816</v>
      </c>
      <c r="J278" s="39" t="n">
        <v>45664</v>
      </c>
      <c r="K278" t="inlineStr">
        <is>
          <t>MO</t>
        </is>
      </c>
      <c r="L278" t="inlineStr">
        <is>
          <t>PIX: 01980098603</t>
        </is>
      </c>
      <c r="N278">
        <f>IF(F278="","NÃO","SIM")</f>
        <v/>
      </c>
      <c r="O278">
        <f>IF($B278=5,"SIM","")</f>
        <v/>
      </c>
      <c r="P278" s="81">
        <f>A278&amp;B278&amp;C278&amp;E278&amp;G278&amp;EDATE(J278,0)</f>
        <v/>
      </c>
      <c r="Q278" s="71">
        <f>IF(A278=0,"",VLOOKUP($A278,RESUMO!$A$8:$B$83,2,FALSE))</f>
        <v/>
      </c>
    </row>
    <row r="279">
      <c r="A279" s="39" t="n">
        <v>45662</v>
      </c>
      <c r="B279" s="53" t="n">
        <v>1</v>
      </c>
      <c r="C279" t="inlineStr">
        <is>
          <t>00001980098603</t>
        </is>
      </c>
      <c r="D279" t="inlineStr">
        <is>
          <t>LUCAS CATALUNHA DA SILVA</t>
        </is>
      </c>
      <c r="E279" t="inlineStr">
        <is>
          <t>CAFÉ</t>
        </is>
      </c>
      <c r="G279" s="78" t="n">
        <v>4</v>
      </c>
      <c r="H279" t="n">
        <v>20</v>
      </c>
      <c r="I279" s="78" t="n">
        <v>80</v>
      </c>
      <c r="J279" s="39" t="n">
        <v>45664</v>
      </c>
      <c r="K279" t="inlineStr">
        <is>
          <t>MO</t>
        </is>
      </c>
      <c r="L279" t="inlineStr">
        <is>
          <t>PIX: 01980098603</t>
        </is>
      </c>
      <c r="N279">
        <f>IF(F279="","NÃO","SIM")</f>
        <v/>
      </c>
      <c r="O279">
        <f>IF($B279=5,"SIM","")</f>
        <v/>
      </c>
      <c r="P279" s="81">
        <f>A279&amp;B279&amp;C279&amp;E279&amp;G279&amp;EDATE(J279,0)</f>
        <v/>
      </c>
      <c r="Q279" s="71">
        <f>IF(A279=0,"",VLOOKUP($A279,RESUMO!$A$8:$B$83,2,FALSE))</f>
        <v/>
      </c>
    </row>
    <row r="280">
      <c r="A280" s="39" t="n">
        <v>45662</v>
      </c>
      <c r="B280" s="53" t="n">
        <v>1</v>
      </c>
      <c r="C280" t="inlineStr">
        <is>
          <t>00036404993600</t>
        </is>
      </c>
      <c r="D280" t="inlineStr">
        <is>
          <t xml:space="preserve">NIVALDO DA SILVA </t>
        </is>
      </c>
      <c r="E280" t="inlineStr">
        <is>
          <t>DIÁRIA</t>
        </is>
      </c>
      <c r="G280" s="78" t="n">
        <v>270</v>
      </c>
      <c r="H280" t="n">
        <v>10</v>
      </c>
      <c r="I280" s="78" t="n">
        <v>2700</v>
      </c>
      <c r="J280" s="39" t="n">
        <v>45664</v>
      </c>
      <c r="K280" t="inlineStr">
        <is>
          <t>MO</t>
        </is>
      </c>
      <c r="L280" t="inlineStr">
        <is>
          <t>PIX: 36404993600</t>
        </is>
      </c>
      <c r="N280">
        <f>IF(F280="","NÃO","SIM")</f>
        <v/>
      </c>
      <c r="O280">
        <f>IF($B280=5,"SIM","")</f>
        <v/>
      </c>
      <c r="P280" s="81">
        <f>A280&amp;B280&amp;C280&amp;E280&amp;G280&amp;EDATE(J280,0)</f>
        <v/>
      </c>
      <c r="Q280" s="71">
        <f>IF(A280=0,"",VLOOKUP($A280,RESUMO!$A$8:$B$83,2,FALSE))</f>
        <v/>
      </c>
    </row>
    <row r="281">
      <c r="A281" s="39" t="n">
        <v>45662</v>
      </c>
      <c r="B281" s="53" t="n">
        <v>2</v>
      </c>
      <c r="C281" t="inlineStr">
        <is>
          <t>00000000011126</t>
        </is>
      </c>
      <c r="D281" t="inlineStr">
        <is>
          <t>MHS MENSALIDADE</t>
        </is>
      </c>
      <c r="E281" t="inlineStr">
        <is>
          <t>COMPETENCIA 12/2024 - NF A EMITIR</t>
        </is>
      </c>
      <c r="G281" s="78" t="n">
        <v>744</v>
      </c>
      <c r="H281" t="n">
        <v>1</v>
      </c>
      <c r="I281" s="78" t="n">
        <v>744</v>
      </c>
      <c r="J281" s="39" t="n">
        <v>45664</v>
      </c>
      <c r="K281" t="inlineStr">
        <is>
          <t>MO</t>
        </is>
      </c>
      <c r="L281" t="inlineStr">
        <is>
          <t>PIX: 31995901635</t>
        </is>
      </c>
      <c r="N281">
        <f>IF(F281="","NÃO","SIM")</f>
        <v/>
      </c>
      <c r="O281">
        <f>IF($B281=5,"SIM","")</f>
        <v/>
      </c>
      <c r="P281" s="81">
        <f>A281&amp;B281&amp;C281&amp;E281&amp;G281&amp;EDATE(J281,0)</f>
        <v/>
      </c>
      <c r="Q281" s="71">
        <f>IF(A281=0,"",VLOOKUP($A281,RESUMO!$A$8:$B$83,2,FALSE))</f>
        <v/>
      </c>
    </row>
    <row r="282">
      <c r="A282" s="39" t="n">
        <v>45662</v>
      </c>
      <c r="B282" s="53" t="n">
        <v>2</v>
      </c>
      <c r="C282" t="inlineStr">
        <is>
          <t>00000000011207</t>
        </is>
      </c>
      <c r="D282" t="inlineStr">
        <is>
          <t>MOTOBOY</t>
        </is>
      </c>
      <c r="E282" t="inlineStr">
        <is>
          <t>COMPETENCIA 12/2024</t>
        </is>
      </c>
      <c r="G282" s="78" t="n">
        <v>135</v>
      </c>
      <c r="H282" t="n">
        <v>1</v>
      </c>
      <c r="I282" s="78" t="n">
        <v>135</v>
      </c>
      <c r="J282" s="39" t="n">
        <v>45664</v>
      </c>
      <c r="K282" t="inlineStr">
        <is>
          <t>DIV</t>
        </is>
      </c>
      <c r="L282" t="inlineStr">
        <is>
          <t>PIX: 31995901635</t>
        </is>
      </c>
      <c r="N282">
        <f>IF(F282="","NÃO","SIM")</f>
        <v/>
      </c>
      <c r="O282">
        <f>IF($B282=5,"SIM","")</f>
        <v/>
      </c>
      <c r="P282" s="81">
        <f>A282&amp;B282&amp;C282&amp;E282&amp;G282&amp;EDATE(J282,0)</f>
        <v/>
      </c>
      <c r="Q282" s="71">
        <f>IF(A282=0,"",VLOOKUP($A282,RESUMO!$A$8:$B$83,2,FALSE))</f>
        <v/>
      </c>
    </row>
    <row r="283">
      <c r="A283" s="39" t="n">
        <v>45662</v>
      </c>
      <c r="B283" s="53" t="n">
        <v>2</v>
      </c>
      <c r="C283" t="inlineStr">
        <is>
          <t>00000000011398</t>
        </is>
      </c>
      <c r="D283" t="inlineStr">
        <is>
          <t>FOLHA DP</t>
        </is>
      </c>
      <c r="E283" t="inlineStr">
        <is>
          <t>COMPETENCIA 12/2024</t>
        </is>
      </c>
      <c r="G283" s="78" t="n">
        <v>847.2</v>
      </c>
      <c r="H283" t="n">
        <v>1</v>
      </c>
      <c r="I283" s="78" t="n">
        <v>847.2</v>
      </c>
      <c r="J283" s="39" t="n">
        <v>45664</v>
      </c>
      <c r="K283" t="inlineStr">
        <is>
          <t>MO</t>
        </is>
      </c>
      <c r="L283" t="inlineStr">
        <is>
          <t>PIX: 31995901635</t>
        </is>
      </c>
      <c r="N283">
        <f>IF(F283="","NÃO","SIM")</f>
        <v/>
      </c>
      <c r="O283">
        <f>IF($B283=5,"SIM","")</f>
        <v/>
      </c>
      <c r="P283" s="81">
        <f>A283&amp;B283&amp;C283&amp;E283&amp;G283&amp;EDATE(J283,0)</f>
        <v/>
      </c>
      <c r="Q283" s="71">
        <f>IF(A283=0,"",VLOOKUP($A283,RESUMO!$A$8:$B$83,2,FALSE))</f>
        <v/>
      </c>
    </row>
    <row r="284">
      <c r="A284" s="39" t="n">
        <v>45662</v>
      </c>
      <c r="B284" s="53" t="n">
        <v>2</v>
      </c>
      <c r="C284" t="inlineStr">
        <is>
          <t>00078068991620</t>
        </is>
      </c>
      <c r="D284" t="inlineStr">
        <is>
          <t xml:space="preserve">GERALDO LUCIANO FERREIRA </t>
        </is>
      </c>
      <c r="E284" t="inlineStr">
        <is>
          <t>ESCAVAÇÃO DE TUBULÃO</t>
        </is>
      </c>
      <c r="G284" s="78" t="n">
        <v>17971.2</v>
      </c>
      <c r="H284" t="n">
        <v>1</v>
      </c>
      <c r="I284" s="78" t="n">
        <v>17971.2</v>
      </c>
      <c r="J284" s="39" t="n">
        <v>45664</v>
      </c>
      <c r="K284" t="inlineStr">
        <is>
          <t>SERV</t>
        </is>
      </c>
      <c r="L284" t="inlineStr">
        <is>
          <t>ITAÚ  - 8562 37658</t>
        </is>
      </c>
      <c r="N284">
        <f>IF(F284="","NÃO","SIM")</f>
        <v/>
      </c>
      <c r="O284">
        <f>IF($B284=5,"SIM","")</f>
        <v/>
      </c>
      <c r="P284" s="81">
        <f>A284&amp;B284&amp;C284&amp;E284&amp;G284&amp;EDATE(J284,0)</f>
        <v/>
      </c>
      <c r="Q284" s="71">
        <f>IF(A284=0,"",VLOOKUP($A284,RESUMO!$A$8:$B$83,2,FALSE))</f>
        <v/>
      </c>
    </row>
    <row r="285">
      <c r="A285" s="39" t="n">
        <v>45662</v>
      </c>
      <c r="B285" s="53" t="n">
        <v>3</v>
      </c>
      <c r="C285" t="inlineStr">
        <is>
          <t>14313602000103</t>
        </is>
      </c>
      <c r="D285" t="inlineStr">
        <is>
          <t>VIDA EQUIPAMENTOS DE PROTECAO</t>
        </is>
      </c>
      <c r="E285" t="inlineStr">
        <is>
          <t>EQUIP. PROTEÇÃO - PARC. 2/2</t>
        </is>
      </c>
      <c r="F285" t="inlineStr">
        <is>
          <t xml:space="preserve">28296 </t>
        </is>
      </c>
      <c r="G285" s="78" t="n">
        <v>551.17</v>
      </c>
      <c r="H285" t="n">
        <v>1</v>
      </c>
      <c r="I285" s="78" t="n">
        <v>551.17</v>
      </c>
      <c r="J285" s="39" t="n">
        <v>45664</v>
      </c>
      <c r="K285" t="inlineStr">
        <is>
          <t>MO</t>
        </is>
      </c>
      <c r="L285" t="inlineStr">
        <is>
          <t>-</t>
        </is>
      </c>
      <c r="N285">
        <f>IF(F285="","NÃO","SIM")</f>
        <v/>
      </c>
      <c r="O285">
        <f>IF($B285=5,"SIM","")</f>
        <v/>
      </c>
      <c r="P285" s="81">
        <f>A285&amp;B285&amp;C285&amp;E285&amp;G285&amp;EDATE(J285,0)</f>
        <v/>
      </c>
      <c r="Q285" s="71">
        <f>IF(A285=0,"",VLOOKUP($A285,RESUMO!$A$8:$B$83,2,FALSE))</f>
        <v/>
      </c>
    </row>
    <row r="286">
      <c r="A286" s="39" t="n">
        <v>45662</v>
      </c>
      <c r="B286" s="53" t="n">
        <v>3</v>
      </c>
      <c r="C286" t="inlineStr">
        <is>
          <t>51708324000110</t>
        </is>
      </c>
      <c r="D286" t="inlineStr">
        <is>
          <t>AMAZONIA UNIFORMES LTDA</t>
        </is>
      </c>
      <c r="E286" t="inlineStr">
        <is>
          <t>UNIFORMES - 984</t>
        </is>
      </c>
      <c r="G286" s="78" t="n">
        <v>448</v>
      </c>
      <c r="H286" t="n">
        <v>1</v>
      </c>
      <c r="I286" s="78" t="n">
        <v>448</v>
      </c>
      <c r="J286" s="39" t="inlineStr">
        <is>
          <t>14/01/2025</t>
        </is>
      </c>
      <c r="K286" t="inlineStr">
        <is>
          <t>MO</t>
        </is>
      </c>
      <c r="L286" t="inlineStr">
        <is>
          <t>-</t>
        </is>
      </c>
      <c r="N286">
        <f>IF(F286="","NÃO","SIM")</f>
        <v/>
      </c>
      <c r="O286">
        <f>IF($B286=5,"SIM","")</f>
        <v/>
      </c>
      <c r="P286" s="81">
        <f>A286&amp;B286&amp;C286&amp;E286&amp;G286&amp;EDATE(J286,0)</f>
        <v/>
      </c>
      <c r="Q286" s="71">
        <f>IF(A286=0,"",VLOOKUP($A286,RESUMO!$A$8:$B$83,2,FALSE))</f>
        <v/>
      </c>
    </row>
    <row r="287">
      <c r="A287" s="39" t="n">
        <v>45662</v>
      </c>
      <c r="B287" s="53" t="n">
        <v>3</v>
      </c>
      <c r="C287" t="inlineStr">
        <is>
          <t>07409393000130</t>
        </is>
      </c>
      <c r="D287" t="inlineStr">
        <is>
          <t>LOCFER</t>
        </is>
      </c>
      <c r="E287" t="inlineStr">
        <is>
          <t>MARTELO</t>
        </is>
      </c>
      <c r="F287" t="inlineStr">
        <is>
          <t>27206</t>
        </is>
      </c>
      <c r="G287" s="78" t="n">
        <v>960</v>
      </c>
      <c r="H287" t="n">
        <v>1</v>
      </c>
      <c r="I287" s="78" t="n">
        <v>960</v>
      </c>
      <c r="J287" s="39" t="inlineStr">
        <is>
          <t>15/01/2025</t>
        </is>
      </c>
      <c r="K287" t="inlineStr">
        <is>
          <t>LOC</t>
        </is>
      </c>
      <c r="L287" t="inlineStr">
        <is>
          <t>-</t>
        </is>
      </c>
      <c r="N287">
        <f>IF(F287="","NÃO","SIM")</f>
        <v/>
      </c>
      <c r="O287">
        <f>IF($B287=5,"SIM","")</f>
        <v/>
      </c>
      <c r="P287" s="81">
        <f>A287&amp;B287&amp;C287&amp;E287&amp;G287&amp;EDATE(J287,0)</f>
        <v/>
      </c>
      <c r="Q287" s="71">
        <f>IF(A287=0,"",VLOOKUP($A287,RESUMO!$A$8:$B$83,2,FALSE))</f>
        <v/>
      </c>
    </row>
    <row r="288">
      <c r="A288" s="39" t="n">
        <v>45662</v>
      </c>
      <c r="B288" s="53" t="n">
        <v>3</v>
      </c>
      <c r="C288" t="inlineStr">
        <is>
          <t>07409393000130</t>
        </is>
      </c>
      <c r="D288" t="inlineStr">
        <is>
          <t>LOCFER</t>
        </is>
      </c>
      <c r="E288" t="inlineStr">
        <is>
          <t>KIT PROTEÇÃO BIPARTIDA</t>
        </is>
      </c>
      <c r="F288" t="inlineStr">
        <is>
          <t>2845</t>
        </is>
      </c>
      <c r="G288" s="78" t="n">
        <v>229</v>
      </c>
      <c r="H288" t="n">
        <v>1</v>
      </c>
      <c r="I288" s="78" t="n">
        <v>229</v>
      </c>
      <c r="J288" s="39" t="inlineStr">
        <is>
          <t>20/01/2025</t>
        </is>
      </c>
      <c r="K288" t="inlineStr">
        <is>
          <t>LOC</t>
        </is>
      </c>
      <c r="L288" t="inlineStr">
        <is>
          <t>-</t>
        </is>
      </c>
      <c r="N288">
        <f>IF(F288="","NÃO","SIM")</f>
        <v/>
      </c>
      <c r="O288">
        <f>IF($B288=5,"SIM","")</f>
        <v/>
      </c>
      <c r="P288" s="81">
        <f>A288&amp;B288&amp;C288&amp;E288&amp;G288&amp;EDATE(J288,0)</f>
        <v/>
      </c>
      <c r="Q288" s="71">
        <f>IF(A288=0,"",VLOOKUP($A288,RESUMO!$A$8:$B$83,2,FALSE))</f>
        <v/>
      </c>
    </row>
    <row r="289">
      <c r="A289" s="39" t="n">
        <v>45662</v>
      </c>
      <c r="B289" s="53" t="n">
        <v>3</v>
      </c>
      <c r="C289" t="inlineStr">
        <is>
          <t>07409393000130</t>
        </is>
      </c>
      <c r="D289" t="inlineStr">
        <is>
          <t>LOCFER</t>
        </is>
      </c>
      <c r="E289" t="inlineStr">
        <is>
          <t>ESMERILHADEIRA</t>
        </is>
      </c>
      <c r="F289" t="inlineStr">
        <is>
          <t>27255</t>
        </is>
      </c>
      <c r="G289" s="78" t="n">
        <v>100</v>
      </c>
      <c r="H289" t="n">
        <v>1</v>
      </c>
      <c r="I289" s="78" t="n">
        <v>100</v>
      </c>
      <c r="J289" s="39" t="inlineStr">
        <is>
          <t>20/01/2025</t>
        </is>
      </c>
      <c r="K289" t="inlineStr">
        <is>
          <t>LOC</t>
        </is>
      </c>
      <c r="L289" t="inlineStr">
        <is>
          <t>-</t>
        </is>
      </c>
      <c r="N289">
        <f>IF(F289="","NÃO","SIM")</f>
        <v/>
      </c>
      <c r="O289">
        <f>IF($B289=5,"SIM","")</f>
        <v/>
      </c>
      <c r="P289" s="81">
        <f>A289&amp;B289&amp;C289&amp;E289&amp;G289&amp;EDATE(J289,0)</f>
        <v/>
      </c>
      <c r="Q289" s="71">
        <f>IF(A289=0,"",VLOOKUP($A289,RESUMO!$A$8:$B$83,2,FALSE))</f>
        <v/>
      </c>
    </row>
    <row r="290">
      <c r="A290" s="39" t="n">
        <v>45662</v>
      </c>
      <c r="B290" s="53" t="n">
        <v>4</v>
      </c>
      <c r="C290" t="inlineStr">
        <is>
          <t>00037081707840</t>
        </is>
      </c>
      <c r="D290" t="inlineStr">
        <is>
          <t>BRUNO SANTANA RINALDI</t>
        </is>
      </c>
      <c r="E290" t="inlineStr">
        <is>
          <t>KIT NATAL - RESTITUIÇÃO</t>
        </is>
      </c>
      <c r="G290" s="78" t="n">
        <v>2276.88</v>
      </c>
      <c r="H290" t="n">
        <v>1</v>
      </c>
      <c r="I290" s="78" t="n">
        <v>2276.88</v>
      </c>
      <c r="J290" s="39" t="inlineStr">
        <is>
          <t>19/12/2024</t>
        </is>
      </c>
      <c r="K290" t="inlineStr">
        <is>
          <t>ADM</t>
        </is>
      </c>
      <c r="L290" t="inlineStr">
        <is>
          <t>PIX: 31995901635</t>
        </is>
      </c>
      <c r="N290">
        <f>IF(F290="","NÃO","SIM")</f>
        <v/>
      </c>
      <c r="O290">
        <f>IF($B290=5,"SIM","")</f>
        <v/>
      </c>
      <c r="P290" s="81">
        <f>A290&amp;B290&amp;C290&amp;E290&amp;G290&amp;EDATE(J290,0)</f>
        <v/>
      </c>
      <c r="Q290" s="71">
        <f>IF(A290=0,"",VLOOKUP($A290,RESUMO!$A$8:$B$83,2,FALSE))</f>
        <v/>
      </c>
    </row>
    <row r="291">
      <c r="A291" s="39" t="n">
        <v>45662</v>
      </c>
      <c r="B291" s="53" t="n">
        <v>5</v>
      </c>
      <c r="C291" t="inlineStr">
        <is>
          <t>13938283000169</t>
        </is>
      </c>
      <c r="D291" t="inlineStr">
        <is>
          <t>BETON MIX</t>
        </is>
      </c>
      <c r="E291" t="inlineStr">
        <is>
          <t>CCONCRETAGEM - NF A EMITIR</t>
        </is>
      </c>
      <c r="G291" s="78" t="n">
        <v>44800</v>
      </c>
      <c r="H291" t="n">
        <v>1</v>
      </c>
      <c r="I291" s="78" t="n">
        <v>44800</v>
      </c>
      <c r="J291" s="39" t="n">
        <v>45644</v>
      </c>
      <c r="K291" t="inlineStr">
        <is>
          <t>MAT</t>
        </is>
      </c>
      <c r="L291" t="inlineStr">
        <is>
          <t>-</t>
        </is>
      </c>
      <c r="N291">
        <f>IF(F291="","NÃO","SIM")</f>
        <v/>
      </c>
      <c r="O291">
        <f>IF($B291=5,"SIM","")</f>
        <v/>
      </c>
      <c r="P291" s="81">
        <f>A291&amp;B291&amp;C291&amp;E291&amp;G291&amp;EDATE(J291,0)</f>
        <v/>
      </c>
      <c r="Q291" s="71">
        <f>IF(A291=0,"",VLOOKUP($A291,RESUMO!$A$8:$B$83,2,FALSE))</f>
        <v/>
      </c>
    </row>
    <row r="292">
      <c r="A292" s="39" t="n">
        <v>45662</v>
      </c>
      <c r="B292" s="53" t="n">
        <v>5</v>
      </c>
      <c r="C292" t="inlineStr">
        <is>
          <t>17469701000177</t>
        </is>
      </c>
      <c r="D292" t="inlineStr">
        <is>
          <t>ARCELORMITTAL BRASIL</t>
        </is>
      </c>
      <c r="E292" t="inlineStr">
        <is>
          <t>AÇO - AGUARDANDO NF</t>
        </is>
      </c>
      <c r="G292" s="78" t="n">
        <v>35747.81</v>
      </c>
      <c r="H292" t="n">
        <v>1</v>
      </c>
      <c r="I292" s="78" t="n">
        <v>35747.81</v>
      </c>
      <c r="J292" s="39" t="n">
        <v>45645</v>
      </c>
      <c r="K292" t="inlineStr">
        <is>
          <t>MAT</t>
        </is>
      </c>
      <c r="L292" t="inlineStr">
        <is>
          <t>PIX: 17469701000177</t>
        </is>
      </c>
      <c r="N292">
        <f>IF(F292="","NÃO","SIM")</f>
        <v/>
      </c>
      <c r="O292">
        <f>IF($B292=5,"SIM","")</f>
        <v/>
      </c>
      <c r="P292" s="81">
        <f>A292&amp;B292&amp;C292&amp;E292&amp;G292&amp;EDATE(J292,0)</f>
        <v/>
      </c>
      <c r="Q292" s="71">
        <f>IF(A292=0,"",VLOOKUP($A292,RESUMO!$A$8:$B$83,2,FALSE))</f>
        <v/>
      </c>
    </row>
    <row r="293">
      <c r="A293" s="39" t="n">
        <v>45662</v>
      </c>
      <c r="B293" t="n">
        <v>7</v>
      </c>
      <c r="C293" t="inlineStr">
        <is>
          <t>30104762000107</t>
        </is>
      </c>
      <c r="D293" t="inlineStr">
        <is>
          <t>VASCONCELOS &amp; RINALDI ENGENHARIA</t>
        </is>
      </c>
      <c r="E293" t="inlineStr">
        <is>
          <t>ADM 13.0%</t>
        </is>
      </c>
      <c r="G293" s="78" t="n">
        <v>16233.88</v>
      </c>
      <c r="H293" t="n">
        <v>1</v>
      </c>
      <c r="I293" s="78" t="n">
        <v>16233.88</v>
      </c>
      <c r="J293" s="39" t="n">
        <v>45662</v>
      </c>
      <c r="K293" t="inlineStr">
        <is>
          <t>ADM</t>
        </is>
      </c>
      <c r="L293" t="inlineStr">
        <is>
          <t>PIX: 30104762000107</t>
        </is>
      </c>
      <c r="N293">
        <f>IF(F293="","NÃO","SIM")</f>
        <v/>
      </c>
      <c r="O293">
        <f>IF($B293=5,"SIM","")</f>
        <v/>
      </c>
      <c r="P293" s="81">
        <f>A293&amp;B293&amp;C293&amp;E293&amp;G293&amp;EDATE(J293,0)</f>
        <v/>
      </c>
      <c r="Q293" s="71">
        <f>IF(A293=0,"",VLOOKUP($A293,RESUMO!$A$8:$B$83,2,FALSE))</f>
        <v/>
      </c>
    </row>
    <row r="294">
      <c r="A294" s="39" t="n">
        <v>45677</v>
      </c>
      <c r="B294" s="53" t="n">
        <v>1</v>
      </c>
      <c r="C294" t="inlineStr">
        <is>
          <t>00007573876670</t>
        </is>
      </c>
      <c r="D294" t="inlineStr">
        <is>
          <t>BRUNO JUNIO DA SILVA</t>
        </is>
      </c>
      <c r="E294" t="inlineStr">
        <is>
          <t>SALÁRIO</t>
        </is>
      </c>
      <c r="G294" s="78" t="n">
        <v>2719.6</v>
      </c>
      <c r="H294" t="n">
        <v>1</v>
      </c>
      <c r="I294" s="78" t="n">
        <v>2719.6</v>
      </c>
      <c r="J294" s="39" t="n">
        <v>45677</v>
      </c>
      <c r="K294" t="inlineStr">
        <is>
          <t>MO</t>
        </is>
      </c>
      <c r="L294" t="inlineStr">
        <is>
          <t>PIX: 07573876670</t>
        </is>
      </c>
      <c r="N294">
        <f>IF(F294="","NÃO","SIM")</f>
        <v/>
      </c>
      <c r="O294">
        <f>IF($B294=5,"SIM","")</f>
        <v/>
      </c>
      <c r="P294" s="81">
        <f>A294&amp;B294&amp;C294&amp;E294&amp;G294&amp;EDATE(J294,0)</f>
        <v/>
      </c>
      <c r="Q294" s="71">
        <f>IF(A294=0,"",VLOOKUP($A294,RESUMO!$A$8:$B$83,2,FALSE))</f>
        <v/>
      </c>
    </row>
    <row r="295">
      <c r="A295" s="39" t="n">
        <v>45677</v>
      </c>
      <c r="B295" s="53" t="n">
        <v>1</v>
      </c>
      <c r="C295" t="inlineStr">
        <is>
          <t>00007573876670</t>
        </is>
      </c>
      <c r="D295" t="inlineStr">
        <is>
          <t>BRUNO JUNIO DA SILVA</t>
        </is>
      </c>
      <c r="E295" t="inlineStr">
        <is>
          <t>TRANSPORTE</t>
        </is>
      </c>
      <c r="G295" s="78" t="n">
        <v>2.4</v>
      </c>
      <c r="H295" t="n">
        <v>20</v>
      </c>
      <c r="I295" s="78" t="n">
        <v>48</v>
      </c>
      <c r="J295" s="39" t="n">
        <v>45677</v>
      </c>
      <c r="K295" t="inlineStr">
        <is>
          <t>MO</t>
        </is>
      </c>
      <c r="L295" t="inlineStr">
        <is>
          <t>PIX: 07573876670</t>
        </is>
      </c>
      <c r="N295">
        <f>IF(F295="","NÃO","SIM")</f>
        <v/>
      </c>
      <c r="O295">
        <f>IF($B295=5,"SIM","")</f>
        <v/>
      </c>
      <c r="P295" s="81">
        <f>A295&amp;B295&amp;C295&amp;E295&amp;G295&amp;EDATE(J295,0)</f>
        <v/>
      </c>
      <c r="Q295" s="71">
        <f>IF(A295=0,"",VLOOKUP($A295,RESUMO!$A$8:$B$83,2,FALSE))</f>
        <v/>
      </c>
    </row>
    <row r="296">
      <c r="A296" s="39" t="n">
        <v>45677</v>
      </c>
      <c r="B296" s="53" t="n">
        <v>1</v>
      </c>
      <c r="C296" t="inlineStr">
        <is>
          <t>00000354432605</t>
        </is>
      </c>
      <c r="D296" t="inlineStr">
        <is>
          <t>ANTONIO DUTRA DE FREITAS</t>
        </is>
      </c>
      <c r="E296" t="inlineStr">
        <is>
          <t>SALÁRIO</t>
        </is>
      </c>
      <c r="G296" s="78" t="n">
        <v>1156</v>
      </c>
      <c r="H296" t="n">
        <v>1</v>
      </c>
      <c r="I296" s="78" t="n">
        <v>1156</v>
      </c>
      <c r="J296" s="39" t="n">
        <v>45677</v>
      </c>
      <c r="K296" t="inlineStr">
        <is>
          <t>MO</t>
        </is>
      </c>
      <c r="L296" t="inlineStr">
        <is>
          <t>PIX: 31982618378</t>
        </is>
      </c>
      <c r="N296">
        <f>IF(F296="","NÃO","SIM")</f>
        <v/>
      </c>
      <c r="O296">
        <f>IF($B296=5,"SIM","")</f>
        <v/>
      </c>
      <c r="P296" s="81">
        <f>A296&amp;B296&amp;C296&amp;E296&amp;G296&amp;EDATE(J296,0)</f>
        <v/>
      </c>
      <c r="Q296" s="71">
        <f>IF(A296=0,"",VLOOKUP($A296,RESUMO!$A$8:$B$83,2,FALSE))</f>
        <v/>
      </c>
    </row>
    <row r="297">
      <c r="A297" s="39" t="n">
        <v>45677</v>
      </c>
      <c r="B297" s="53" t="n">
        <v>1</v>
      </c>
      <c r="C297" t="inlineStr">
        <is>
          <t>00000354432605</t>
        </is>
      </c>
      <c r="D297" t="inlineStr">
        <is>
          <t>ANTONIO DUTRA DE FREITAS</t>
        </is>
      </c>
      <c r="E297" t="inlineStr">
        <is>
          <t>TRANSPORTE</t>
        </is>
      </c>
      <c r="G297" s="78" t="n">
        <v>2.4</v>
      </c>
      <c r="H297" t="n">
        <v>20</v>
      </c>
      <c r="I297" s="78" t="n">
        <v>48</v>
      </c>
      <c r="J297" s="39" t="n">
        <v>45677</v>
      </c>
      <c r="K297" t="inlineStr">
        <is>
          <t>MO</t>
        </is>
      </c>
      <c r="L297" t="inlineStr">
        <is>
          <t>PIX: 31982618378</t>
        </is>
      </c>
      <c r="N297">
        <f>IF(F297="","NÃO","SIM")</f>
        <v/>
      </c>
      <c r="O297">
        <f>IF($B297=5,"SIM","")</f>
        <v/>
      </c>
      <c r="P297" s="81">
        <f>A297&amp;B297&amp;C297&amp;E297&amp;G297&amp;EDATE(J297,0)</f>
        <v/>
      </c>
      <c r="Q297" s="71">
        <f>IF(A297=0,"",VLOOKUP($A297,RESUMO!$A$8:$B$83,2,FALSE))</f>
        <v/>
      </c>
    </row>
    <row r="298">
      <c r="A298" s="39" t="n">
        <v>45677</v>
      </c>
      <c r="B298" s="53" t="n">
        <v>1</v>
      </c>
      <c r="C298" t="inlineStr">
        <is>
          <t>00007249031600</t>
        </is>
      </c>
      <c r="D298" t="inlineStr">
        <is>
          <t>EDER PEREIRA DA SILVA</t>
        </is>
      </c>
      <c r="E298" t="inlineStr">
        <is>
          <t>SALÁRIO</t>
        </is>
      </c>
      <c r="G298" s="78" t="n">
        <v>1156</v>
      </c>
      <c r="H298" t="n">
        <v>1</v>
      </c>
      <c r="I298" s="78" t="n">
        <v>1156</v>
      </c>
      <c r="J298" s="39" t="n">
        <v>45677</v>
      </c>
      <c r="K298" t="inlineStr">
        <is>
          <t>MO</t>
        </is>
      </c>
      <c r="L298" t="inlineStr">
        <is>
          <t>PIX: 07249031600</t>
        </is>
      </c>
      <c r="N298">
        <f>IF(F298="","NÃO","SIM")</f>
        <v/>
      </c>
      <c r="O298">
        <f>IF($B298=5,"SIM","")</f>
        <v/>
      </c>
      <c r="P298" s="81">
        <f>A298&amp;B298&amp;C298&amp;E298&amp;G298&amp;EDATE(J298,0)</f>
        <v/>
      </c>
      <c r="Q298" s="71">
        <f>IF(A298=0,"",VLOOKUP($A298,RESUMO!$A$8:$B$83,2,FALSE))</f>
        <v/>
      </c>
    </row>
    <row r="299">
      <c r="A299" s="39" t="n">
        <v>45677</v>
      </c>
      <c r="B299" s="53" t="n">
        <v>1</v>
      </c>
      <c r="C299" t="inlineStr">
        <is>
          <t>00007249031600</t>
        </is>
      </c>
      <c r="D299" t="inlineStr">
        <is>
          <t>EDER PEREIRA DA SILVA</t>
        </is>
      </c>
      <c r="E299" t="inlineStr">
        <is>
          <t>TRANSPORTE</t>
        </is>
      </c>
      <c r="G299" s="78" t="n">
        <v>2.4</v>
      </c>
      <c r="H299" t="n">
        <v>20</v>
      </c>
      <c r="I299" s="78" t="n">
        <v>48</v>
      </c>
      <c r="J299" s="39" t="n">
        <v>45677</v>
      </c>
      <c r="K299" t="inlineStr">
        <is>
          <t>MO</t>
        </is>
      </c>
      <c r="L299" t="inlineStr">
        <is>
          <t>PIX: 07249031600</t>
        </is>
      </c>
      <c r="N299">
        <f>IF(F299="","NÃO","SIM")</f>
        <v/>
      </c>
      <c r="O299">
        <f>IF($B299=5,"SIM","")</f>
        <v/>
      </c>
      <c r="P299" s="81">
        <f>A299&amp;B299&amp;C299&amp;E299&amp;G299&amp;EDATE(J299,0)</f>
        <v/>
      </c>
      <c r="Q299" s="71">
        <f>IF(A299=0,"",VLOOKUP($A299,RESUMO!$A$8:$B$83,2,FALSE))</f>
        <v/>
      </c>
    </row>
    <row r="300">
      <c r="A300" s="39" t="n">
        <v>45677</v>
      </c>
      <c r="B300" s="53" t="n">
        <v>1</v>
      </c>
      <c r="C300" t="inlineStr">
        <is>
          <t>00014758063613</t>
        </is>
      </c>
      <c r="D300" t="inlineStr">
        <is>
          <t>IZAEL BISPO OLIVEIRA</t>
        </is>
      </c>
      <c r="E300" t="inlineStr">
        <is>
          <t>SALÁRIO</t>
        </is>
      </c>
      <c r="G300" s="78" t="n">
        <v>1156</v>
      </c>
      <c r="H300" t="n">
        <v>1</v>
      </c>
      <c r="I300" s="78" t="n">
        <v>1156</v>
      </c>
      <c r="J300" s="39" t="n">
        <v>45677</v>
      </c>
      <c r="K300" t="inlineStr">
        <is>
          <t>MO</t>
        </is>
      </c>
      <c r="L300" t="inlineStr">
        <is>
          <t>PIX: 14758063613</t>
        </is>
      </c>
      <c r="N300">
        <f>IF(F300="","NÃO","SIM")</f>
        <v/>
      </c>
      <c r="O300">
        <f>IF($B300=5,"SIM","")</f>
        <v/>
      </c>
      <c r="P300" s="81">
        <f>A300&amp;B300&amp;C300&amp;E300&amp;G300&amp;EDATE(J300,0)</f>
        <v/>
      </c>
      <c r="Q300" s="71">
        <f>IF(A300=0,"",VLOOKUP($A300,RESUMO!$A$8:$B$83,2,FALSE))</f>
        <v/>
      </c>
    </row>
    <row r="301">
      <c r="A301" s="39" t="n">
        <v>45677</v>
      </c>
      <c r="B301" s="53" t="n">
        <v>1</v>
      </c>
      <c r="C301" t="inlineStr">
        <is>
          <t>00014758063613</t>
        </is>
      </c>
      <c r="D301" t="inlineStr">
        <is>
          <t>IZAEL BISPO OLIVEIRA</t>
        </is>
      </c>
      <c r="E301" t="inlineStr">
        <is>
          <t>TRANSPORTE</t>
        </is>
      </c>
      <c r="G301" s="78" t="n">
        <v>2.5</v>
      </c>
      <c r="H301" t="n">
        <v>19</v>
      </c>
      <c r="I301" s="78" t="n">
        <v>47.5</v>
      </c>
      <c r="J301" s="39" t="n">
        <v>45677</v>
      </c>
      <c r="K301" t="inlineStr">
        <is>
          <t>MO</t>
        </is>
      </c>
      <c r="L301" t="inlineStr">
        <is>
          <t>PIX: 14758063613</t>
        </is>
      </c>
      <c r="N301">
        <f>IF(F301="","NÃO","SIM")</f>
        <v/>
      </c>
      <c r="O301">
        <f>IF($B301=5,"SIM","")</f>
        <v/>
      </c>
      <c r="P301" s="81">
        <f>A301&amp;B301&amp;C301&amp;E301&amp;G301&amp;EDATE(J301,0)</f>
        <v/>
      </c>
      <c r="Q301" s="71">
        <f>IF(A301=0,"",VLOOKUP($A301,RESUMO!$A$8:$B$83,2,FALSE))</f>
        <v/>
      </c>
    </row>
    <row r="302">
      <c r="A302" s="39" t="n">
        <v>45677</v>
      </c>
      <c r="B302" s="53" t="n">
        <v>1</v>
      </c>
      <c r="C302" t="inlineStr">
        <is>
          <t>00085086894387</t>
        </is>
      </c>
      <c r="D302" t="inlineStr">
        <is>
          <t>ROBERVAL PORTACIO DOS SANTOS</t>
        </is>
      </c>
      <c r="E302" t="inlineStr">
        <is>
          <t>SALÁRIO</t>
        </is>
      </c>
      <c r="G302" s="78" t="n">
        <v>672.4</v>
      </c>
      <c r="H302" t="n">
        <v>1</v>
      </c>
      <c r="I302" s="78" t="n">
        <v>672.4</v>
      </c>
      <c r="J302" s="39" t="n">
        <v>45677</v>
      </c>
      <c r="K302" t="inlineStr">
        <is>
          <t>MO</t>
        </is>
      </c>
      <c r="L302" t="inlineStr">
        <is>
          <t>PIX: 31971706400</t>
        </is>
      </c>
      <c r="N302">
        <f>IF(F302="","NÃO","SIM")</f>
        <v/>
      </c>
      <c r="O302">
        <f>IF($B302=5,"SIM","")</f>
        <v/>
      </c>
      <c r="P302" s="81">
        <f>A302&amp;B302&amp;C302&amp;E302&amp;G302&amp;EDATE(J302,0)</f>
        <v/>
      </c>
      <c r="Q302" s="71">
        <f>IF(A302=0,"",VLOOKUP($A302,RESUMO!$A$8:$B$83,2,FALSE))</f>
        <v/>
      </c>
    </row>
    <row r="303">
      <c r="A303" s="39" t="n">
        <v>45677</v>
      </c>
      <c r="B303" s="53" t="n">
        <v>1</v>
      </c>
      <c r="C303" t="inlineStr">
        <is>
          <t>00085086894387</t>
        </is>
      </c>
      <c r="D303" t="inlineStr">
        <is>
          <t>ROBERVAL PORTACIO DOS SANTOS</t>
        </is>
      </c>
      <c r="E303" t="inlineStr">
        <is>
          <t>TRANSPORTE</t>
        </is>
      </c>
      <c r="G303" s="78" t="n">
        <v>2.4</v>
      </c>
      <c r="H303" t="n">
        <v>19</v>
      </c>
      <c r="I303" s="78" t="n">
        <v>45.6</v>
      </c>
      <c r="J303" s="39" t="n">
        <v>45677</v>
      </c>
      <c r="K303" t="inlineStr">
        <is>
          <t>MO</t>
        </is>
      </c>
      <c r="L303" t="inlineStr">
        <is>
          <t>PIX: 31971706400</t>
        </is>
      </c>
      <c r="N303">
        <f>IF(F303="","NÃO","SIM")</f>
        <v/>
      </c>
      <c r="O303">
        <f>IF($B303=5,"SIM","")</f>
        <v/>
      </c>
      <c r="P303" s="81">
        <f>A303&amp;B303&amp;C303&amp;E303&amp;G303&amp;EDATE(J303,0)</f>
        <v/>
      </c>
      <c r="Q303" s="71">
        <f>IF(A303=0,"",VLOOKUP($A303,RESUMO!$A$8:$B$83,2,FALSE))</f>
        <v/>
      </c>
    </row>
    <row r="304">
      <c r="A304" s="39" t="n">
        <v>45677</v>
      </c>
      <c r="B304" s="53" t="n">
        <v>1</v>
      </c>
      <c r="C304" t="inlineStr">
        <is>
          <t>00087942119653</t>
        </is>
      </c>
      <c r="D304" t="inlineStr">
        <is>
          <t>DOMINGOS DA SILVA LIMA</t>
        </is>
      </c>
      <c r="E304" t="inlineStr">
        <is>
          <t>SALÁRIO</t>
        </is>
      </c>
      <c r="G304" s="78" t="n">
        <v>672.4</v>
      </c>
      <c r="H304" t="n">
        <v>1</v>
      </c>
      <c r="I304" s="78" t="n">
        <v>672.4</v>
      </c>
      <c r="J304" s="39" t="n">
        <v>45677</v>
      </c>
      <c r="K304" t="inlineStr">
        <is>
          <t>MO</t>
        </is>
      </c>
      <c r="L304" t="inlineStr">
        <is>
          <t>CEF 13 - 892 00113057-1</t>
        </is>
      </c>
      <c r="N304">
        <f>IF(F304="","NÃO","SIM")</f>
        <v/>
      </c>
      <c r="O304">
        <f>IF($B304=5,"SIM","")</f>
        <v/>
      </c>
      <c r="P304" s="81">
        <f>A304&amp;B304&amp;C304&amp;E304&amp;G304&amp;EDATE(J304,0)</f>
        <v/>
      </c>
      <c r="Q304" s="71">
        <f>IF(A304=0,"",VLOOKUP($A304,RESUMO!$A$8:$B$83,2,FALSE))</f>
        <v/>
      </c>
    </row>
    <row r="305">
      <c r="A305" s="39" t="n">
        <v>45677</v>
      </c>
      <c r="B305" s="53" t="n">
        <v>1</v>
      </c>
      <c r="C305" t="inlineStr">
        <is>
          <t>00087942119653</t>
        </is>
      </c>
      <c r="D305" t="inlineStr">
        <is>
          <t>DOMINGOS DA SILVA LIMA</t>
        </is>
      </c>
      <c r="E305" t="inlineStr">
        <is>
          <t>TRANSPORTE</t>
        </is>
      </c>
      <c r="G305" s="78" t="n">
        <v>2.4</v>
      </c>
      <c r="H305" t="n">
        <v>20</v>
      </c>
      <c r="I305" s="78" t="n">
        <v>48</v>
      </c>
      <c r="J305" s="39" t="n">
        <v>45677</v>
      </c>
      <c r="K305" t="inlineStr">
        <is>
          <t>MO</t>
        </is>
      </c>
      <c r="L305" t="inlineStr">
        <is>
          <t>CEF 13 - 892 00113057-1</t>
        </is>
      </c>
      <c r="N305">
        <f>IF(F305="","NÃO","SIM")</f>
        <v/>
      </c>
      <c r="O305">
        <f>IF($B305=5,"SIM","")</f>
        <v/>
      </c>
      <c r="P305" s="81">
        <f>A305&amp;B305&amp;C305&amp;E305&amp;G305&amp;EDATE(J305,0)</f>
        <v/>
      </c>
      <c r="Q305" s="71">
        <f>IF(A305=0,"",VLOOKUP($A305,RESUMO!$A$8:$B$83,2,FALSE))</f>
        <v/>
      </c>
    </row>
    <row r="306">
      <c r="A306" s="39" t="n">
        <v>45677</v>
      </c>
      <c r="B306" s="53" t="n">
        <v>1</v>
      </c>
      <c r="C306" t="inlineStr">
        <is>
          <t>00075746980315</t>
        </is>
      </c>
      <c r="D306" t="inlineStr">
        <is>
          <t>FRANCISCO REGO DA SILVA</t>
        </is>
      </c>
      <c r="E306" t="inlineStr">
        <is>
          <t>SALÁRIO</t>
        </is>
      </c>
      <c r="G306" s="78" t="n">
        <v>979.6</v>
      </c>
      <c r="H306" t="n">
        <v>1</v>
      </c>
      <c r="I306" s="78" t="n">
        <v>979.6</v>
      </c>
      <c r="J306" s="39" t="n">
        <v>45677</v>
      </c>
      <c r="K306" t="inlineStr">
        <is>
          <t>MO</t>
        </is>
      </c>
      <c r="L306" t="inlineStr">
        <is>
          <t>PIX: 75746980315</t>
        </is>
      </c>
      <c r="N306">
        <f>IF(F306="","NÃO","SIM")</f>
        <v/>
      </c>
      <c r="O306">
        <f>IF($B306=5,"SIM","")</f>
        <v/>
      </c>
      <c r="P306" s="81">
        <f>A306&amp;B306&amp;C306&amp;E306&amp;G306&amp;EDATE(J306,0)</f>
        <v/>
      </c>
      <c r="Q306" s="71">
        <f>IF(A306=0,"",VLOOKUP($A306,RESUMO!$A$8:$B$83,2,FALSE))</f>
        <v/>
      </c>
    </row>
    <row r="307">
      <c r="A307" s="39" t="n">
        <v>45677</v>
      </c>
      <c r="B307" s="53" t="n">
        <v>1</v>
      </c>
      <c r="C307" t="inlineStr">
        <is>
          <t>00075746980315</t>
        </is>
      </c>
      <c r="D307" t="inlineStr">
        <is>
          <t>FRANCISCO REGO DA SILVA</t>
        </is>
      </c>
      <c r="E307" t="inlineStr">
        <is>
          <t>TRANSPORTE</t>
        </is>
      </c>
      <c r="G307" s="78" t="n">
        <v>2.4</v>
      </c>
      <c r="H307" t="n">
        <v>20</v>
      </c>
      <c r="I307" s="78" t="n">
        <v>48</v>
      </c>
      <c r="J307" s="39" t="n">
        <v>45677</v>
      </c>
      <c r="K307" t="inlineStr">
        <is>
          <t>MO</t>
        </is>
      </c>
      <c r="L307" t="inlineStr">
        <is>
          <t>PIX: 75746980315</t>
        </is>
      </c>
      <c r="N307">
        <f>IF(F307="","NÃO","SIM")</f>
        <v/>
      </c>
      <c r="O307">
        <f>IF($B307=5,"SIM","")</f>
        <v/>
      </c>
      <c r="P307" s="81">
        <f>A307&amp;B307&amp;C307&amp;E307&amp;G307&amp;EDATE(J307,0)</f>
        <v/>
      </c>
      <c r="Q307" s="71">
        <f>IF(A307=0,"",VLOOKUP($A307,RESUMO!$A$8:$B$83,2,FALSE))</f>
        <v/>
      </c>
    </row>
    <row r="308">
      <c r="A308" s="39" t="n">
        <v>45677</v>
      </c>
      <c r="B308" s="53" t="n">
        <v>1</v>
      </c>
      <c r="C308" t="inlineStr">
        <is>
          <t>00001980098603</t>
        </is>
      </c>
      <c r="D308" t="inlineStr">
        <is>
          <t>LUCAS CATALUNHA DA SILVA</t>
        </is>
      </c>
      <c r="E308" t="inlineStr">
        <is>
          <t>SALÁRIO</t>
        </is>
      </c>
      <c r="G308" s="78" t="n">
        <v>672.4</v>
      </c>
      <c r="H308" t="n">
        <v>1</v>
      </c>
      <c r="I308" s="78" t="n">
        <v>672.4</v>
      </c>
      <c r="J308" s="39" t="n">
        <v>45677</v>
      </c>
      <c r="K308" t="inlineStr">
        <is>
          <t>MO</t>
        </is>
      </c>
      <c r="L308" t="inlineStr">
        <is>
          <t>PIX: 01980098603</t>
        </is>
      </c>
      <c r="N308">
        <f>IF(F308="","NÃO","SIM")</f>
        <v/>
      </c>
      <c r="O308">
        <f>IF($B308=5,"SIM","")</f>
        <v/>
      </c>
      <c r="P308" s="81">
        <f>A308&amp;B308&amp;C308&amp;E308&amp;G308&amp;EDATE(J308,0)</f>
        <v/>
      </c>
      <c r="Q308" s="71">
        <f>IF(A308=0,"",VLOOKUP($A308,RESUMO!$A$8:$B$83,2,FALSE))</f>
        <v/>
      </c>
    </row>
    <row r="309">
      <c r="A309" s="39" t="n">
        <v>45677</v>
      </c>
      <c r="B309" s="53" t="n">
        <v>1</v>
      </c>
      <c r="C309" t="inlineStr">
        <is>
          <t>00001980098603</t>
        </is>
      </c>
      <c r="D309" t="inlineStr">
        <is>
          <t>LUCAS CATALUNHA DA SILVA</t>
        </is>
      </c>
      <c r="E309" t="inlineStr">
        <is>
          <t>TRANSPORTE</t>
        </is>
      </c>
      <c r="G309" s="78" t="n">
        <v>2.4</v>
      </c>
      <c r="H309" t="n">
        <v>20</v>
      </c>
      <c r="I309" s="78" t="n">
        <v>48</v>
      </c>
      <c r="J309" s="39" t="n">
        <v>45677</v>
      </c>
      <c r="K309" t="inlineStr">
        <is>
          <t>MO</t>
        </is>
      </c>
      <c r="L309" t="inlineStr">
        <is>
          <t>PIX: 01980098603</t>
        </is>
      </c>
      <c r="N309">
        <f>IF(F309="","NÃO","SIM")</f>
        <v/>
      </c>
      <c r="O309">
        <f>IF($B309=5,"SIM","")</f>
        <v/>
      </c>
      <c r="P309" s="81">
        <f>A309&amp;B309&amp;C309&amp;E309&amp;G309&amp;EDATE(J309,0)</f>
        <v/>
      </c>
      <c r="Q309" s="71">
        <f>IF(A309=0,"",VLOOKUP($A309,RESUMO!$A$8:$B$83,2,FALSE))</f>
        <v/>
      </c>
    </row>
    <row r="310">
      <c r="A310" s="39" t="n">
        <v>45677</v>
      </c>
      <c r="B310" s="53" t="n">
        <v>1</v>
      </c>
      <c r="C310" t="inlineStr">
        <is>
          <t>00036404993600</t>
        </is>
      </c>
      <c r="D310" t="inlineStr">
        <is>
          <t xml:space="preserve">NIVALDO DA SILVA </t>
        </is>
      </c>
      <c r="E310" t="inlineStr">
        <is>
          <t>DIÁRIA</t>
        </is>
      </c>
      <c r="G310" s="78" t="n">
        <v>270</v>
      </c>
      <c r="H310" t="n">
        <v>10</v>
      </c>
      <c r="I310" s="78" t="n">
        <v>2700</v>
      </c>
      <c r="J310" s="39" t="n">
        <v>45677</v>
      </c>
      <c r="K310" t="inlineStr">
        <is>
          <t>MO</t>
        </is>
      </c>
      <c r="L310" t="inlineStr">
        <is>
          <t>PIX: 36404993600</t>
        </is>
      </c>
      <c r="N310">
        <f>IF(F310="","NÃO","SIM")</f>
        <v/>
      </c>
      <c r="O310">
        <f>IF($B310=5,"SIM","")</f>
        <v/>
      </c>
      <c r="P310" s="81">
        <f>A310&amp;B310&amp;C310&amp;E310&amp;G310&amp;EDATE(J310,0)</f>
        <v/>
      </c>
      <c r="Q310" s="71">
        <f>IF(A310=0,"",VLOOKUP($A310,RESUMO!$A$8:$B$83,2,FALSE))</f>
        <v/>
      </c>
    </row>
    <row r="311">
      <c r="A311" s="39" t="n">
        <v>45677</v>
      </c>
      <c r="B311" s="53" t="n">
        <v>2</v>
      </c>
      <c r="C311" t="inlineStr">
        <is>
          <t>00078068991620</t>
        </is>
      </c>
      <c r="D311" t="inlineStr">
        <is>
          <t xml:space="preserve">GERALDO LUCIANO FERREIRA </t>
        </is>
      </c>
      <c r="E311" t="inlineStr">
        <is>
          <t>ESCAVAÇÃO DE TUBULÃO</t>
        </is>
      </c>
      <c r="G311" s="78" t="n">
        <v>30412.8</v>
      </c>
      <c r="H311" t="n">
        <v>1</v>
      </c>
      <c r="I311" s="78" t="n">
        <v>30412.8</v>
      </c>
      <c r="J311" s="39" t="n">
        <v>45677</v>
      </c>
      <c r="K311" t="inlineStr">
        <is>
          <t>SERV</t>
        </is>
      </c>
      <c r="L311" t="inlineStr">
        <is>
          <t>ITAÚ  - 8562 37658</t>
        </is>
      </c>
      <c r="N311">
        <f>IF(F311="","NÃO","SIM")</f>
        <v/>
      </c>
      <c r="O311">
        <f>IF($B311=5,"SIM","")</f>
        <v/>
      </c>
      <c r="P311" s="81">
        <f>A311&amp;B311&amp;C311&amp;E311&amp;G311&amp;EDATE(J311,0)</f>
        <v/>
      </c>
      <c r="Q311" s="71">
        <f>IF(A311=0,"",VLOOKUP($A311,RESUMO!$A$8:$B$83,2,FALSE))</f>
        <v/>
      </c>
    </row>
    <row r="312">
      <c r="A312" s="39" t="n">
        <v>45677</v>
      </c>
      <c r="B312" s="53" t="n">
        <v>3</v>
      </c>
      <c r="C312" t="inlineStr">
        <is>
          <t>00360305000104</t>
        </is>
      </c>
      <c r="D312" t="inlineStr">
        <is>
          <t>FGTS</t>
        </is>
      </c>
      <c r="E312" t="inlineStr">
        <is>
          <t>REF. 12/2024 E 13º SALÁRIO</t>
        </is>
      </c>
      <c r="G312" s="78" t="n">
        <v>2019.28</v>
      </c>
      <c r="H312" t="n">
        <v>1</v>
      </c>
      <c r="I312" s="78" t="n">
        <v>2019.28</v>
      </c>
      <c r="J312" s="39" t="n">
        <v>45677</v>
      </c>
      <c r="K312" t="inlineStr">
        <is>
          <t>MO</t>
        </is>
      </c>
      <c r="L312" t="inlineStr">
        <is>
          <t>-</t>
        </is>
      </c>
      <c r="N312">
        <f>IF(F312="","NÃO","SIM")</f>
        <v/>
      </c>
      <c r="O312">
        <f>IF($B312=5,"SIM","")</f>
        <v/>
      </c>
      <c r="P312" s="81">
        <f>A312&amp;B312&amp;C312&amp;E312&amp;G312&amp;EDATE(J312,0)</f>
        <v/>
      </c>
      <c r="Q312" s="71">
        <f>IF(A312=0,"",VLOOKUP($A312,RESUMO!$A$8:$B$83,2,FALSE))</f>
        <v/>
      </c>
    </row>
    <row r="313">
      <c r="A313" s="39" t="n">
        <v>45677</v>
      </c>
      <c r="B313" s="53" t="n">
        <v>3</v>
      </c>
      <c r="C313" t="inlineStr">
        <is>
          <t>00394460000141</t>
        </is>
      </c>
      <c r="D313" t="inlineStr">
        <is>
          <t>INSS/IRRF</t>
        </is>
      </c>
      <c r="E313" t="inlineStr">
        <is>
          <t>REF. 12/2024</t>
        </is>
      </c>
      <c r="G313" s="78" t="n">
        <v>8879.49</v>
      </c>
      <c r="H313" t="n">
        <v>1</v>
      </c>
      <c r="I313" s="78" t="n">
        <v>8879.49</v>
      </c>
      <c r="J313" s="39" t="n">
        <v>45677</v>
      </c>
      <c r="K313" t="inlineStr">
        <is>
          <t>MO</t>
        </is>
      </c>
      <c r="L313" t="inlineStr">
        <is>
          <t>-</t>
        </is>
      </c>
      <c r="N313">
        <f>IF(F313="","NÃO","SIM")</f>
        <v/>
      </c>
      <c r="O313">
        <f>IF($B313=5,"SIM","")</f>
        <v/>
      </c>
      <c r="P313" s="81">
        <f>A313&amp;B313&amp;C313&amp;E313&amp;G313&amp;EDATE(J313,0)</f>
        <v/>
      </c>
      <c r="Q313" s="71">
        <f>IF(A313=0,"",VLOOKUP($A313,RESUMO!$A$8:$B$83,2,FALSE))</f>
        <v/>
      </c>
    </row>
    <row r="314">
      <c r="A314" s="39" t="n">
        <v>45677</v>
      </c>
      <c r="B314" s="53" t="n">
        <v>3</v>
      </c>
      <c r="C314" t="inlineStr">
        <is>
          <t>00000000011045</t>
        </is>
      </c>
      <c r="D314" t="inlineStr">
        <is>
          <t>MHS EVENTO SST ESOCIAL</t>
        </is>
      </c>
      <c r="E314" t="inlineStr">
        <is>
          <t>COMPETENCIA 12/2024 - NF A EMITIR</t>
        </is>
      </c>
      <c r="G314" s="78" t="n">
        <v>110.52</v>
      </c>
      <c r="H314" t="n">
        <v>1</v>
      </c>
      <c r="I314" s="78" t="n">
        <v>110.52</v>
      </c>
      <c r="J314" s="39" t="n">
        <v>45677</v>
      </c>
      <c r="K314" t="inlineStr">
        <is>
          <t>MO</t>
        </is>
      </c>
      <c r="L314" t="inlineStr">
        <is>
          <t>PIX: 31995901635</t>
        </is>
      </c>
      <c r="N314">
        <f>IF(F314="","NÃO","SIM")</f>
        <v/>
      </c>
      <c r="O314">
        <f>IF($B314=5,"SIM","")</f>
        <v/>
      </c>
      <c r="P314" s="81">
        <f>A314&amp;B314&amp;C314&amp;E314&amp;G314&amp;EDATE(J314,0)</f>
        <v/>
      </c>
      <c r="Q314" s="71">
        <f>IF(A314=0,"",VLOOKUP($A314,RESUMO!$A$8:$B$83,2,FALSE))</f>
        <v/>
      </c>
    </row>
    <row r="315">
      <c r="A315" s="39" t="n">
        <v>45677</v>
      </c>
      <c r="B315" s="53" t="n">
        <v>3</v>
      </c>
      <c r="C315" t="inlineStr">
        <is>
          <t>21944558000103</t>
        </is>
      </c>
      <c r="D315" t="inlineStr">
        <is>
          <t>LOCAN ANDAIMES</t>
        </is>
      </c>
      <c r="E315" t="inlineStr">
        <is>
          <t>LOCAÇÃO DE ANDAIMES - ND 10294</t>
        </is>
      </c>
      <c r="G315" s="78" t="n">
        <v>228</v>
      </c>
      <c r="H315" t="n">
        <v>1</v>
      </c>
      <c r="I315" s="78" t="n">
        <v>228</v>
      </c>
      <c r="J315" s="39" t="n">
        <v>45678</v>
      </c>
      <c r="K315" t="inlineStr">
        <is>
          <t>LOC</t>
        </is>
      </c>
      <c r="L315" t="inlineStr">
        <is>
          <t>-</t>
        </is>
      </c>
      <c r="N315">
        <f>IF(F315="","NÃO","SIM")</f>
        <v/>
      </c>
      <c r="O315">
        <f>IF($B315=5,"SIM","")</f>
        <v/>
      </c>
      <c r="P315" s="81">
        <f>A315&amp;B315&amp;C315&amp;E315&amp;G315&amp;EDATE(J315,0)</f>
        <v/>
      </c>
      <c r="Q315" s="71">
        <f>IF(A315=0,"",VLOOKUP($A315,RESUMO!$A$8:$B$83,2,FALSE))</f>
        <v/>
      </c>
    </row>
    <row r="316">
      <c r="A316" s="39" t="n">
        <v>45677</v>
      </c>
      <c r="B316" s="53" t="n">
        <v>3</v>
      </c>
      <c r="C316" t="inlineStr">
        <is>
          <t>07409393000130</t>
        </is>
      </c>
      <c r="D316" t="inlineStr">
        <is>
          <t>LOCFER</t>
        </is>
      </c>
      <c r="E316" t="inlineStr">
        <is>
          <t>SERRA E POLICORTE</t>
        </is>
      </c>
      <c r="F316" t="inlineStr">
        <is>
          <t>27312</t>
        </is>
      </c>
      <c r="G316" s="78" t="n">
        <v>235</v>
      </c>
      <c r="H316" t="n">
        <v>1</v>
      </c>
      <c r="I316" s="78" t="n">
        <v>235</v>
      </c>
      <c r="J316" s="39" t="n">
        <v>45681</v>
      </c>
      <c r="K316" t="inlineStr">
        <is>
          <t>LOC</t>
        </is>
      </c>
      <c r="L316" t="inlineStr">
        <is>
          <t>-</t>
        </is>
      </c>
      <c r="N316">
        <f>IF(F316="","NÃO","SIM")</f>
        <v/>
      </c>
      <c r="O316">
        <f>IF($B316=5,"SIM","")</f>
        <v/>
      </c>
      <c r="P316" s="81">
        <f>A316&amp;B316&amp;C316&amp;E316&amp;G316&amp;EDATE(J316,0)</f>
        <v/>
      </c>
      <c r="Q316" s="71">
        <f>IF(A316=0,"",VLOOKUP($A316,RESUMO!$A$8:$B$83,2,FALSE))</f>
        <v/>
      </c>
    </row>
    <row r="317">
      <c r="A317" s="39" t="n">
        <v>45677</v>
      </c>
      <c r="B317" s="53" t="n">
        <v>3</v>
      </c>
      <c r="C317" t="inlineStr">
        <is>
          <t>34713151000109</t>
        </is>
      </c>
      <c r="D317" t="inlineStr">
        <is>
          <t>CONSULTARELABCON</t>
        </is>
      </c>
      <c r="E317" t="inlineStr">
        <is>
          <t>CONTROLE TECNOLÓGICO DA QUALIDADE</t>
        </is>
      </c>
      <c r="G317" s="78" t="n">
        <v>731.5</v>
      </c>
      <c r="H317" t="n">
        <v>1</v>
      </c>
      <c r="I317" s="78" t="n">
        <v>731.5</v>
      </c>
      <c r="J317" s="39" t="n">
        <v>45685</v>
      </c>
      <c r="K317" t="inlineStr">
        <is>
          <t>SERV</t>
        </is>
      </c>
      <c r="L317" t="inlineStr">
        <is>
          <t>-</t>
        </is>
      </c>
      <c r="N317">
        <f>IF(F317="","NÃO","SIM")</f>
        <v/>
      </c>
      <c r="O317">
        <f>IF($B317=5,"SIM","")</f>
        <v/>
      </c>
      <c r="P317" s="81">
        <f>A317&amp;B317&amp;C317&amp;E317&amp;G317&amp;EDATE(J317,0)</f>
        <v/>
      </c>
      <c r="Q317" s="71">
        <f>IF(A317=0,"",VLOOKUP($A317,RESUMO!$A$8:$B$83,2,FALSE))</f>
        <v/>
      </c>
    </row>
    <row r="318">
      <c r="A318" s="39" t="n">
        <v>45677</v>
      </c>
      <c r="B318" s="53" t="n">
        <v>3</v>
      </c>
      <c r="C318" t="inlineStr">
        <is>
          <t>24654133000220</t>
        </is>
      </c>
      <c r="D318" t="inlineStr">
        <is>
          <t xml:space="preserve">PLIMAX PERSONA </t>
        </is>
      </c>
      <c r="E318" t="inlineStr">
        <is>
          <t>CESTAS BÁSICAS</t>
        </is>
      </c>
      <c r="F318" t="inlineStr">
        <is>
          <t>272260</t>
        </is>
      </c>
      <c r="G318" s="78" t="n">
        <v>2514.33</v>
      </c>
      <c r="H318" t="n">
        <v>1</v>
      </c>
      <c r="I318" s="78" t="n">
        <v>2514.33</v>
      </c>
      <c r="J318" s="39" t="n">
        <v>45685</v>
      </c>
      <c r="K318" t="inlineStr">
        <is>
          <t>MO</t>
        </is>
      </c>
      <c r="L318" t="inlineStr">
        <is>
          <t>-</t>
        </is>
      </c>
      <c r="N318">
        <f>IF(F318="","NÃO","SIM")</f>
        <v/>
      </c>
      <c r="O318">
        <f>IF($B318=5,"SIM","")</f>
        <v/>
      </c>
      <c r="P318" s="81">
        <f>A318&amp;B318&amp;C318&amp;E318&amp;G318&amp;EDATE(J318,0)</f>
        <v/>
      </c>
      <c r="Q318" s="71">
        <f>IF(A318=0,"",VLOOKUP($A318,RESUMO!$A$8:$B$83,2,FALSE))</f>
        <v/>
      </c>
    </row>
    <row r="319">
      <c r="A319" s="39" t="n">
        <v>45677</v>
      </c>
      <c r="B319" s="53" t="n">
        <v>3</v>
      </c>
      <c r="C319" t="inlineStr">
        <is>
          <t>34713151000109</t>
        </is>
      </c>
      <c r="D319" t="inlineStr">
        <is>
          <t>CONSULTARELABCON</t>
        </is>
      </c>
      <c r="E319" t="inlineStr">
        <is>
          <t>ALUGUEL DE FORMAS E KITS SLUMP - FL 16265</t>
        </is>
      </c>
      <c r="G319" s="78" t="n">
        <v>731.5</v>
      </c>
      <c r="H319" t="n">
        <v>1</v>
      </c>
      <c r="I319" s="78" t="n">
        <v>731.5</v>
      </c>
      <c r="J319" s="39" t="n">
        <v>45685</v>
      </c>
      <c r="K319" t="inlineStr">
        <is>
          <t>LOC</t>
        </is>
      </c>
      <c r="L319" t="inlineStr">
        <is>
          <t>-</t>
        </is>
      </c>
      <c r="N319">
        <f>IF(F319="","NÃO","SIM")</f>
        <v/>
      </c>
      <c r="O319">
        <f>IF($B319=5,"SIM","")</f>
        <v/>
      </c>
      <c r="P319" s="81">
        <f>A319&amp;B319&amp;C319&amp;E319&amp;G319&amp;EDATE(J319,0)</f>
        <v/>
      </c>
      <c r="Q319" s="71">
        <f>IF(A319=0,"",VLOOKUP($A319,RESUMO!$A$8:$B$83,2,FALSE))</f>
        <v/>
      </c>
    </row>
    <row r="320">
      <c r="A320" s="39" t="n">
        <v>45677</v>
      </c>
      <c r="B320" s="53" t="n">
        <v>3</v>
      </c>
      <c r="C320" t="inlineStr">
        <is>
          <t>97397491000198</t>
        </is>
      </c>
      <c r="D320" t="inlineStr">
        <is>
          <t>COMERCIAL ISO LTDA</t>
        </is>
      </c>
      <c r="E320" t="inlineStr">
        <is>
          <t>PROTETOR PARA AÇO</t>
        </is>
      </c>
      <c r="F320" t="inlineStr">
        <is>
          <t>62169</t>
        </is>
      </c>
      <c r="G320" s="78" t="n">
        <v>370</v>
      </c>
      <c r="H320" t="n">
        <v>1</v>
      </c>
      <c r="I320" s="78" t="n">
        <v>370</v>
      </c>
      <c r="J320" s="39" t="n">
        <v>45688</v>
      </c>
      <c r="K320" t="inlineStr">
        <is>
          <t>MAT</t>
        </is>
      </c>
      <c r="L320" t="inlineStr">
        <is>
          <t>-</t>
        </is>
      </c>
      <c r="N320">
        <f>IF(F320="","NÃO","SIM")</f>
        <v/>
      </c>
      <c r="O320">
        <f>IF($B320=5,"SIM","")</f>
        <v/>
      </c>
      <c r="P320" s="81">
        <f>A320&amp;B320&amp;C320&amp;E320&amp;G320&amp;EDATE(J320,0)</f>
        <v/>
      </c>
      <c r="Q320" s="71">
        <f>IF(A320=0,"",VLOOKUP($A320,RESUMO!$A$8:$B$83,2,FALSE))</f>
        <v/>
      </c>
    </row>
    <row r="321">
      <c r="A321" s="39" t="n">
        <v>45677</v>
      </c>
      <c r="B321" s="53" t="n">
        <v>3</v>
      </c>
      <c r="C321" t="inlineStr">
        <is>
          <t>38727707000177</t>
        </is>
      </c>
      <c r="D321" t="inlineStr">
        <is>
          <t>PASI SEGURO</t>
        </is>
      </c>
      <c r="E321" t="inlineStr">
        <is>
          <t>SEGURO COLABORADORES</t>
        </is>
      </c>
      <c r="G321" s="78" t="n">
        <v>204.04</v>
      </c>
      <c r="H321" t="n">
        <v>1</v>
      </c>
      <c r="I321" s="78" t="n">
        <v>204.04</v>
      </c>
      <c r="J321" s="39" t="n">
        <v>45688</v>
      </c>
      <c r="K321" t="inlineStr">
        <is>
          <t>MO</t>
        </is>
      </c>
      <c r="L321" t="inlineStr">
        <is>
          <t>-</t>
        </is>
      </c>
      <c r="N321">
        <f>IF(F321="","NÃO","SIM")</f>
        <v/>
      </c>
      <c r="O321">
        <f>IF($B321=5,"SIM","")</f>
        <v/>
      </c>
      <c r="P321" s="81">
        <f>A321&amp;B321&amp;C321&amp;E321&amp;G321&amp;EDATE(J321,0)</f>
        <v/>
      </c>
      <c r="Q321" s="71">
        <f>IF(A321=0,"",VLOOKUP($A321,RESUMO!$A$8:$B$83,2,FALSE))</f>
        <v/>
      </c>
    </row>
    <row r="322">
      <c r="A322" s="39" t="n">
        <v>45677</v>
      </c>
      <c r="B322" s="53" t="n">
        <v>3</v>
      </c>
      <c r="C322" t="inlineStr">
        <is>
          <t>07409393000130</t>
        </is>
      </c>
      <c r="D322" t="inlineStr">
        <is>
          <t>LOCFER</t>
        </is>
      </c>
      <c r="E322" t="inlineStr">
        <is>
          <t>SERRA, MARTELO</t>
        </is>
      </c>
      <c r="F322" t="inlineStr">
        <is>
          <t>27378</t>
        </is>
      </c>
      <c r="G322" s="78" t="n">
        <v>1250</v>
      </c>
      <c r="H322" t="n">
        <v>1</v>
      </c>
      <c r="I322" s="78" t="n">
        <v>1250</v>
      </c>
      <c r="J322" s="39" t="n">
        <v>45692</v>
      </c>
      <c r="K322" t="inlineStr">
        <is>
          <t>LOC</t>
        </is>
      </c>
      <c r="L322" t="inlineStr">
        <is>
          <t>-</t>
        </is>
      </c>
      <c r="N322">
        <f>IF(F322="","NÃO","SIM")</f>
        <v/>
      </c>
      <c r="O322">
        <f>IF($B322=5,"SIM","")</f>
        <v/>
      </c>
      <c r="P322" s="81">
        <f>A322&amp;B322&amp;C322&amp;E322&amp;G322&amp;EDATE(J322,0)</f>
        <v/>
      </c>
      <c r="Q322" s="71">
        <f>IF(A322=0,"",VLOOKUP($A322,RESUMO!$A$8:$B$83,2,FALSE))</f>
        <v/>
      </c>
    </row>
    <row r="323">
      <c r="A323" s="39" t="n">
        <v>45677</v>
      </c>
      <c r="B323" s="53" t="n">
        <v>5</v>
      </c>
      <c r="C323" t="inlineStr">
        <is>
          <t>13938283000169</t>
        </is>
      </c>
      <c r="D323" t="inlineStr">
        <is>
          <t>BETON MIX</t>
        </is>
      </c>
      <c r="E323" t="inlineStr">
        <is>
          <t>CONCRETAGEM - NF A EMITIR</t>
        </is>
      </c>
      <c r="G323" s="78" t="n">
        <v>35840</v>
      </c>
      <c r="H323" t="n">
        <v>1</v>
      </c>
      <c r="I323" s="78" t="n">
        <v>35840</v>
      </c>
      <c r="J323" s="39" t="n">
        <v>45666</v>
      </c>
      <c r="K323" t="inlineStr">
        <is>
          <t>MAT</t>
        </is>
      </c>
      <c r="L323" t="inlineStr">
        <is>
          <t>-</t>
        </is>
      </c>
      <c r="N323">
        <f>IF(F323="","NÃO","SIM")</f>
        <v/>
      </c>
      <c r="O323">
        <f>IF($B323=5,"SIM","")</f>
        <v/>
      </c>
      <c r="P323" s="81">
        <f>A323&amp;B323&amp;C323&amp;E323&amp;G323&amp;EDATE(J323,0)</f>
        <v/>
      </c>
      <c r="Q323" s="71">
        <f>IF(A323=0,"",VLOOKUP($A323,RESUMO!$A$8:$B$83,2,FALSE))</f>
        <v/>
      </c>
    </row>
    <row r="324">
      <c r="A324" s="39" t="n">
        <v>45677</v>
      </c>
      <c r="B324" s="53" t="n">
        <v>5</v>
      </c>
      <c r="C324" s="63" t="inlineStr">
        <is>
          <t>10559527000104</t>
        </is>
      </c>
      <c r="D324" t="inlineStr">
        <is>
          <t>LOCA MUNCK</t>
        </is>
      </c>
      <c r="E324" t="inlineStr">
        <is>
          <t>LOCAÇÃO DE CAMINHÃO MUNCK</t>
        </is>
      </c>
      <c r="F324" t="inlineStr">
        <is>
          <t>2025/5</t>
        </is>
      </c>
      <c r="G324" s="78" t="n">
        <v>3300</v>
      </c>
      <c r="H324" t="n">
        <v>1</v>
      </c>
      <c r="I324" s="78" t="n">
        <v>3300</v>
      </c>
      <c r="J324" s="39" t="n">
        <v>45674</v>
      </c>
      <c r="K324" t="inlineStr">
        <is>
          <t>SERV</t>
        </is>
      </c>
      <c r="L324" t="inlineStr">
        <is>
          <t>-</t>
        </is>
      </c>
      <c r="N324">
        <f>IF(F324="","NÃO","SIM")</f>
        <v/>
      </c>
      <c r="O324">
        <f>IF($B324=5,"SIM","")</f>
        <v/>
      </c>
      <c r="P324" s="81">
        <f>A324&amp;B324&amp;C324&amp;E324&amp;G324&amp;EDATE(J324,0)</f>
        <v/>
      </c>
      <c r="Q324" s="71">
        <f>IF(A324=0,"",VLOOKUP($A324,RESUMO!$A$8:$B$83,2,FALSE))</f>
        <v/>
      </c>
    </row>
    <row r="325">
      <c r="A325" s="39" t="n">
        <v>45677</v>
      </c>
      <c r="B325" t="n">
        <v>7</v>
      </c>
      <c r="C325" t="inlineStr">
        <is>
          <t>30104762000107</t>
        </is>
      </c>
      <c r="D325" t="inlineStr">
        <is>
          <t>VASCONCELOS &amp; RINALDI ENGENHARIA</t>
        </is>
      </c>
      <c r="E325" t="inlineStr">
        <is>
          <t>ADM 13.0%</t>
        </is>
      </c>
      <c r="G325" s="78" t="n">
        <v>12881.95</v>
      </c>
      <c r="H325" t="n">
        <v>1</v>
      </c>
      <c r="I325" s="78" t="n">
        <v>12881.95</v>
      </c>
      <c r="J325" s="39" t="n">
        <v>45677</v>
      </c>
      <c r="K325" t="inlineStr">
        <is>
          <t>ADM</t>
        </is>
      </c>
      <c r="L325" t="inlineStr">
        <is>
          <t>PIX: 30104762000107</t>
        </is>
      </c>
      <c r="N325">
        <f>IF(F325="","NÃO","SIM")</f>
        <v/>
      </c>
      <c r="O325">
        <f>IF($B325=5,"SIM","")</f>
        <v/>
      </c>
      <c r="P325" s="81">
        <f>A325&amp;B325&amp;C325&amp;E325&amp;G325&amp;EDATE(J325,0)</f>
        <v/>
      </c>
      <c r="Q325" s="71">
        <f>IF(A325=0,"",VLOOKUP($A325,RESUMO!$A$8:$B$83,2,FALSE))</f>
        <v/>
      </c>
    </row>
    <row r="326">
      <c r="A326" s="39" t="n">
        <v>45693</v>
      </c>
      <c r="B326" s="53" t="n">
        <v>1</v>
      </c>
      <c r="C326" t="inlineStr">
        <is>
          <t>00354432605</t>
        </is>
      </c>
      <c r="D326" t="inlineStr">
        <is>
          <t>ANTONIO DUTRA DE FREITAS</t>
        </is>
      </c>
      <c r="E326" t="inlineStr">
        <is>
          <t>SALÁRIO</t>
        </is>
      </c>
      <c r="G326" s="64" t="n">
        <v>1993.8</v>
      </c>
      <c r="H326" t="n">
        <v>1</v>
      </c>
      <c r="I326" s="64" t="n">
        <v>1993.8</v>
      </c>
      <c r="J326" s="39" t="n">
        <v>45694</v>
      </c>
      <c r="K326" t="inlineStr">
        <is>
          <t>MO</t>
        </is>
      </c>
      <c r="L326" t="inlineStr">
        <is>
          <t>PIX: 31982618378</t>
        </is>
      </c>
      <c r="N326">
        <f>IF(F326="","NÃO","SIM")</f>
        <v/>
      </c>
      <c r="O326">
        <f>IF($B326=5,"SIM","")</f>
        <v/>
      </c>
      <c r="P326" s="81">
        <f>A326&amp;B326&amp;C326&amp;E326&amp;G326&amp;EDATE(J326,0)</f>
        <v/>
      </c>
      <c r="Q326" s="71">
        <f>IF(A326=0,"",VLOOKUP($A326,RESUMO!$A$8:$B$83,2,FALSE))</f>
        <v/>
      </c>
    </row>
    <row r="327">
      <c r="A327" s="39" t="n">
        <v>45693</v>
      </c>
      <c r="B327" s="53" t="n">
        <v>1</v>
      </c>
      <c r="C327" t="inlineStr">
        <is>
          <t>00354432605</t>
        </is>
      </c>
      <c r="D327" t="inlineStr">
        <is>
          <t>ANTONIO DUTRA DE FREITAS</t>
        </is>
      </c>
      <c r="E327" t="inlineStr">
        <is>
          <t>TRANSPORTE</t>
        </is>
      </c>
      <c r="G327" s="64" t="n">
        <v>43.2</v>
      </c>
      <c r="H327" t="n">
        <v>20</v>
      </c>
      <c r="I327" s="64" t="n">
        <v>864</v>
      </c>
      <c r="J327" s="39" t="n">
        <v>45694</v>
      </c>
      <c r="K327" t="inlineStr">
        <is>
          <t>MO</t>
        </is>
      </c>
      <c r="L327" t="inlineStr">
        <is>
          <t>PIX: 31982618378</t>
        </is>
      </c>
      <c r="N327">
        <f>IF(F327="","NÃO","SIM")</f>
        <v/>
      </c>
      <c r="O327">
        <f>IF($B327=5,"SIM","")</f>
        <v/>
      </c>
      <c r="P327" s="81">
        <f>A327&amp;B327&amp;C327&amp;E327&amp;G327&amp;EDATE(J327,0)</f>
        <v/>
      </c>
      <c r="Q327" s="71">
        <f>IF(A327=0,"",VLOOKUP($A327,RESUMO!$A$8:$B$83,2,FALSE))</f>
        <v/>
      </c>
    </row>
    <row r="328">
      <c r="A328" s="39" t="n">
        <v>45693</v>
      </c>
      <c r="B328" s="53" t="n">
        <v>1</v>
      </c>
      <c r="C328" t="inlineStr">
        <is>
          <t>00354432605</t>
        </is>
      </c>
      <c r="D328" t="inlineStr">
        <is>
          <t>ANTONIO DUTRA DE FREITAS</t>
        </is>
      </c>
      <c r="E328" t="inlineStr">
        <is>
          <t>CAFÉ</t>
        </is>
      </c>
      <c r="G328" s="64" t="n">
        <v>4</v>
      </c>
      <c r="H328" t="n">
        <v>20</v>
      </c>
      <c r="I328" s="64" t="n">
        <v>80</v>
      </c>
      <c r="J328" s="39" t="n">
        <v>45694</v>
      </c>
      <c r="K328" t="inlineStr">
        <is>
          <t>MO</t>
        </is>
      </c>
      <c r="L328" t="inlineStr">
        <is>
          <t>PIX: 31982618378</t>
        </is>
      </c>
      <c r="N328">
        <f>IF(F328="","NÃO","SIM")</f>
        <v/>
      </c>
      <c r="O328">
        <f>IF($B328=5,"SIM","")</f>
        <v/>
      </c>
      <c r="P328" s="81">
        <f>A328&amp;B328&amp;C328&amp;E328&amp;G328&amp;EDATE(J328,0)</f>
        <v/>
      </c>
      <c r="Q328" s="71">
        <f>IF(A328=0,"",VLOOKUP($A328,RESUMO!$A$8:$B$83,2,FALSE))</f>
        <v/>
      </c>
    </row>
    <row r="329">
      <c r="A329" s="39" t="n">
        <v>45693</v>
      </c>
      <c r="B329" s="53" t="n">
        <v>1</v>
      </c>
      <c r="C329" t="inlineStr">
        <is>
          <t>07573876670</t>
        </is>
      </c>
      <c r="D329" t="inlineStr">
        <is>
          <t>BRUNO JUNIO DA SILVA</t>
        </is>
      </c>
      <c r="E329" t="inlineStr">
        <is>
          <t>SALÁRIO</t>
        </is>
      </c>
      <c r="G329" s="64" t="n">
        <v>3203.63</v>
      </c>
      <c r="H329" t="n">
        <v>1</v>
      </c>
      <c r="I329" s="64" t="n">
        <v>3203.63</v>
      </c>
      <c r="J329" s="39" t="n">
        <v>45694</v>
      </c>
      <c r="K329" t="inlineStr">
        <is>
          <t>MO</t>
        </is>
      </c>
      <c r="L329" t="inlineStr">
        <is>
          <t>PIX: 07573876670</t>
        </is>
      </c>
      <c r="N329">
        <f>IF(F329="","NÃO","SIM")</f>
        <v/>
      </c>
      <c r="O329">
        <f>IF($B329=5,"SIM","")</f>
        <v/>
      </c>
      <c r="P329" s="81">
        <f>A329&amp;B329&amp;C329&amp;E329&amp;G329&amp;EDATE(J329,0)</f>
        <v/>
      </c>
      <c r="Q329" s="71">
        <f>IF(A329=0,"",VLOOKUP($A329,RESUMO!$A$8:$B$83,2,FALSE))</f>
        <v/>
      </c>
    </row>
    <row r="330">
      <c r="A330" s="39" t="n">
        <v>45693</v>
      </c>
      <c r="B330" s="53" t="n">
        <v>1</v>
      </c>
      <c r="C330" t="inlineStr">
        <is>
          <t>07573876670</t>
        </is>
      </c>
      <c r="D330" t="inlineStr">
        <is>
          <t>BRUNO JUNIO DA SILVA</t>
        </is>
      </c>
      <c r="E330" t="inlineStr">
        <is>
          <t>TRANSPORTE</t>
        </is>
      </c>
      <c r="G330" s="64" t="n">
        <v>43.2</v>
      </c>
      <c r="H330" t="n">
        <v>20</v>
      </c>
      <c r="I330" s="64" t="n">
        <v>864</v>
      </c>
      <c r="J330" s="39" t="n">
        <v>45694</v>
      </c>
      <c r="K330" t="inlineStr">
        <is>
          <t>MO</t>
        </is>
      </c>
      <c r="L330" t="inlineStr">
        <is>
          <t>PIX: 07573876670</t>
        </is>
      </c>
      <c r="N330">
        <f>IF(F330="","NÃO","SIM")</f>
        <v/>
      </c>
      <c r="O330">
        <f>IF($B330=5,"SIM","")</f>
        <v/>
      </c>
      <c r="P330" s="81">
        <f>A330&amp;B330&amp;C330&amp;E330&amp;G330&amp;EDATE(J330,0)</f>
        <v/>
      </c>
      <c r="Q330" s="71">
        <f>IF(A330=0,"",VLOOKUP($A330,RESUMO!$A$8:$B$83,2,FALSE))</f>
        <v/>
      </c>
    </row>
    <row r="331">
      <c r="A331" s="39" t="n">
        <v>45693</v>
      </c>
      <c r="B331" s="53" t="n">
        <v>1</v>
      </c>
      <c r="C331" t="inlineStr">
        <is>
          <t>07573876670</t>
        </is>
      </c>
      <c r="D331" t="inlineStr">
        <is>
          <t>BRUNO JUNIO DA SILVA</t>
        </is>
      </c>
      <c r="E331" t="inlineStr">
        <is>
          <t>CAFÉ</t>
        </is>
      </c>
      <c r="G331" s="64" t="n">
        <v>4</v>
      </c>
      <c r="H331" t="n">
        <v>20</v>
      </c>
      <c r="I331" s="64" t="n">
        <v>80</v>
      </c>
      <c r="J331" s="39" t="n">
        <v>45694</v>
      </c>
      <c r="K331" t="inlineStr">
        <is>
          <t>MO</t>
        </is>
      </c>
      <c r="L331" t="inlineStr">
        <is>
          <t>PIX: 07573876670</t>
        </is>
      </c>
      <c r="N331">
        <f>IF(F331="","NÃO","SIM")</f>
        <v/>
      </c>
      <c r="O331">
        <f>IF($B331=5,"SIM","")</f>
        <v/>
      </c>
      <c r="P331" s="81">
        <f>A331&amp;B331&amp;C331&amp;E331&amp;G331&amp;EDATE(J331,0)</f>
        <v/>
      </c>
      <c r="Q331" s="71">
        <f>IF(A331=0,"",VLOOKUP($A331,RESUMO!$A$8:$B$83,2,FALSE))</f>
        <v/>
      </c>
    </row>
    <row r="332">
      <c r="A332" s="39" t="n">
        <v>45693</v>
      </c>
      <c r="B332" s="53" t="n">
        <v>1</v>
      </c>
      <c r="C332" t="inlineStr">
        <is>
          <t>31999187222</t>
        </is>
      </c>
      <c r="D332" t="inlineStr">
        <is>
          <t>BRUNO RODRIGUES DOS SANTOS</t>
        </is>
      </c>
      <c r="E332" t="inlineStr">
        <is>
          <t>SALÁRIO</t>
        </is>
      </c>
      <c r="G332" s="64" t="n">
        <v>400</v>
      </c>
      <c r="H332" t="n">
        <v>1</v>
      </c>
      <c r="I332" s="64" t="n">
        <v>400</v>
      </c>
      <c r="J332" s="39" t="n">
        <v>45694</v>
      </c>
      <c r="K332" t="inlineStr">
        <is>
          <t>MO</t>
        </is>
      </c>
      <c r="L332" t="inlineStr">
        <is>
          <t>PIX: 31999187222</t>
        </is>
      </c>
      <c r="N332">
        <f>IF(F332="","NÃO","SIM")</f>
        <v/>
      </c>
      <c r="O332">
        <f>IF($B332=5,"SIM","")</f>
        <v/>
      </c>
      <c r="P332" s="81">
        <f>A332&amp;B332&amp;C332&amp;E332&amp;G332&amp;EDATE(J332,0)</f>
        <v/>
      </c>
      <c r="Q332" s="71">
        <f>IF(A332=0,"",VLOOKUP($A332,RESUMO!$A$8:$B$83,2,FALSE))</f>
        <v/>
      </c>
    </row>
    <row r="333">
      <c r="A333" s="39" t="n">
        <v>45693</v>
      </c>
      <c r="B333" s="53" t="n">
        <v>1</v>
      </c>
      <c r="C333" t="inlineStr">
        <is>
          <t>31999187222</t>
        </is>
      </c>
      <c r="D333" t="inlineStr">
        <is>
          <t>BRUNO RODRIGUES DOS SANTOS</t>
        </is>
      </c>
      <c r="E333" t="inlineStr">
        <is>
          <t>TRANSPORTE</t>
        </is>
      </c>
      <c r="G333" s="64" t="n">
        <v>44</v>
      </c>
      <c r="H333" t="n">
        <v>20</v>
      </c>
      <c r="I333" s="64" t="n">
        <v>880</v>
      </c>
      <c r="J333" s="39" t="n">
        <v>45694</v>
      </c>
      <c r="K333" t="inlineStr">
        <is>
          <t>MO</t>
        </is>
      </c>
      <c r="L333" t="inlineStr">
        <is>
          <t>PIX: 31999187222</t>
        </is>
      </c>
      <c r="N333">
        <f>IF(F333="","NÃO","SIM")</f>
        <v/>
      </c>
      <c r="O333">
        <f>IF($B333=5,"SIM","")</f>
        <v/>
      </c>
      <c r="P333" s="81">
        <f>A333&amp;B333&amp;C333&amp;E333&amp;G333&amp;EDATE(J333,0)</f>
        <v/>
      </c>
      <c r="Q333" s="71">
        <f>IF(A333=0,"",VLOOKUP($A333,RESUMO!$A$8:$B$83,2,FALSE))</f>
        <v/>
      </c>
    </row>
    <row r="334">
      <c r="A334" s="39" t="n">
        <v>45693</v>
      </c>
      <c r="B334" s="53" t="n">
        <v>1</v>
      </c>
      <c r="C334" t="inlineStr">
        <is>
          <t>31999187222</t>
        </is>
      </c>
      <c r="D334" t="inlineStr">
        <is>
          <t>BRUNO RODRIGUES DOS SANTOS</t>
        </is>
      </c>
      <c r="E334" t="inlineStr">
        <is>
          <t>CAFÉ</t>
        </is>
      </c>
      <c r="G334" s="64" t="n">
        <v>4</v>
      </c>
      <c r="H334" t="n">
        <v>20</v>
      </c>
      <c r="I334" s="64" t="n">
        <v>80</v>
      </c>
      <c r="J334" s="39" t="n">
        <v>45694</v>
      </c>
      <c r="K334" t="inlineStr">
        <is>
          <t>MO</t>
        </is>
      </c>
      <c r="L334" t="inlineStr">
        <is>
          <t>PIX: 31999187222</t>
        </is>
      </c>
      <c r="N334">
        <f>IF(F334="","NÃO","SIM")</f>
        <v/>
      </c>
      <c r="O334">
        <f>IF($B334=5,"SIM","")</f>
        <v/>
      </c>
      <c r="P334" s="81">
        <f>A334&amp;B334&amp;C334&amp;E334&amp;G334&amp;EDATE(J334,0)</f>
        <v/>
      </c>
      <c r="Q334" s="71">
        <f>IF(A334=0,"",VLOOKUP($A334,RESUMO!$A$8:$B$83,2,FALSE))</f>
        <v/>
      </c>
    </row>
    <row r="335">
      <c r="A335" s="39" t="n">
        <v>45693</v>
      </c>
      <c r="B335" s="53" t="n">
        <v>1</v>
      </c>
      <c r="C335" t="inlineStr">
        <is>
          <t>87942119653</t>
        </is>
      </c>
      <c r="D335" t="inlineStr">
        <is>
          <t>DOMINGOS DA SILVA LIMA</t>
        </is>
      </c>
      <c r="E335" t="inlineStr">
        <is>
          <t>SALÁRIO</t>
        </is>
      </c>
      <c r="G335" s="64" t="n">
        <v>1179.1</v>
      </c>
      <c r="H335" t="n">
        <v>1</v>
      </c>
      <c r="I335" s="64" t="n">
        <v>1179.1</v>
      </c>
      <c r="J335" s="39" t="n">
        <v>45694</v>
      </c>
      <c r="K335" t="inlineStr">
        <is>
          <t>MO</t>
        </is>
      </c>
      <c r="L335" t="inlineStr">
        <is>
          <t>CEF 13 - 892 00113057-1</t>
        </is>
      </c>
      <c r="N335">
        <f>IF(F335="","NÃO","SIM")</f>
        <v/>
      </c>
      <c r="O335">
        <f>IF($B335=5,"SIM","")</f>
        <v/>
      </c>
      <c r="P335" s="81">
        <f>A335&amp;B335&amp;C335&amp;E335&amp;G335&amp;EDATE(J335,0)</f>
        <v/>
      </c>
      <c r="Q335" s="71">
        <f>IF(A335=0,"",VLOOKUP($A335,RESUMO!$A$8:$B$83,2,FALSE))</f>
        <v/>
      </c>
    </row>
    <row r="336">
      <c r="A336" s="39" t="n">
        <v>45693</v>
      </c>
      <c r="B336" s="53" t="n">
        <v>1</v>
      </c>
      <c r="C336" t="inlineStr">
        <is>
          <t>87942119653</t>
        </is>
      </c>
      <c r="D336" t="inlineStr">
        <is>
          <t>DOMINGOS DA SILVA LIMA</t>
        </is>
      </c>
      <c r="E336" t="inlineStr">
        <is>
          <t>TRANSPORTE</t>
        </is>
      </c>
      <c r="G336" s="64" t="n">
        <v>43.2</v>
      </c>
      <c r="H336" t="n">
        <v>19</v>
      </c>
      <c r="I336" s="64" t="n">
        <v>820.8</v>
      </c>
      <c r="J336" s="39" t="n">
        <v>45694</v>
      </c>
      <c r="K336" t="inlineStr">
        <is>
          <t>MO</t>
        </is>
      </c>
      <c r="L336" t="inlineStr">
        <is>
          <t>CEF 13 - 892 00113057-1</t>
        </is>
      </c>
      <c r="N336">
        <f>IF(F336="","NÃO","SIM")</f>
        <v/>
      </c>
      <c r="O336">
        <f>IF($B336=5,"SIM","")</f>
        <v/>
      </c>
      <c r="P336" s="81">
        <f>A336&amp;B336&amp;C336&amp;E336&amp;G336&amp;EDATE(J336,0)</f>
        <v/>
      </c>
      <c r="Q336" s="71">
        <f>IF(A336=0,"",VLOOKUP($A336,RESUMO!$A$8:$B$83,2,FALSE))</f>
        <v/>
      </c>
    </row>
    <row r="337">
      <c r="A337" s="39" t="n">
        <v>45693</v>
      </c>
      <c r="B337" s="53" t="n">
        <v>1</v>
      </c>
      <c r="C337" t="inlineStr">
        <is>
          <t>87942119653</t>
        </is>
      </c>
      <c r="D337" t="inlineStr">
        <is>
          <t>DOMINGOS DA SILVA LIMA</t>
        </is>
      </c>
      <c r="E337" t="inlineStr">
        <is>
          <t>CAFÉ</t>
        </is>
      </c>
      <c r="G337" s="64" t="n">
        <v>4</v>
      </c>
      <c r="H337" t="n">
        <v>19</v>
      </c>
      <c r="I337" s="64" t="n">
        <v>76</v>
      </c>
      <c r="J337" s="39" t="n">
        <v>45694</v>
      </c>
      <c r="K337" t="inlineStr">
        <is>
          <t>MO</t>
        </is>
      </c>
      <c r="L337" t="inlineStr">
        <is>
          <t>CEF 13 - 892 00113057-1</t>
        </is>
      </c>
      <c r="N337">
        <f>IF(F337="","NÃO","SIM")</f>
        <v/>
      </c>
      <c r="O337">
        <f>IF($B337=5,"SIM","")</f>
        <v/>
      </c>
      <c r="P337" s="81">
        <f>A337&amp;B337&amp;C337&amp;E337&amp;G337&amp;EDATE(J337,0)</f>
        <v/>
      </c>
      <c r="Q337" s="71">
        <f>IF(A337=0,"",VLOOKUP($A337,RESUMO!$A$8:$B$83,2,FALSE))</f>
        <v/>
      </c>
    </row>
    <row r="338">
      <c r="A338" s="39" t="n">
        <v>45693</v>
      </c>
      <c r="B338" s="53" t="n">
        <v>1</v>
      </c>
      <c r="C338" t="inlineStr">
        <is>
          <t>07249031600</t>
        </is>
      </c>
      <c r="D338" t="inlineStr">
        <is>
          <t>EDER PEREIRA DA SILVA</t>
        </is>
      </c>
      <c r="E338" t="inlineStr">
        <is>
          <t>SALÁRIO</t>
        </is>
      </c>
      <c r="G338" s="64" t="n">
        <v>1993.8</v>
      </c>
      <c r="H338" t="n">
        <v>1</v>
      </c>
      <c r="I338" s="64" t="n">
        <v>1993.8</v>
      </c>
      <c r="J338" s="39" t="n">
        <v>45694</v>
      </c>
      <c r="K338" t="inlineStr">
        <is>
          <t>MO</t>
        </is>
      </c>
      <c r="L338" t="inlineStr">
        <is>
          <t>PIX: 07249031600</t>
        </is>
      </c>
      <c r="N338">
        <f>IF(F338="","NÃO","SIM")</f>
        <v/>
      </c>
      <c r="O338">
        <f>IF($B338=5,"SIM","")</f>
        <v/>
      </c>
      <c r="P338" s="81">
        <f>A338&amp;B338&amp;C338&amp;E338&amp;G338&amp;EDATE(J338,0)</f>
        <v/>
      </c>
      <c r="Q338" s="71">
        <f>IF(A338=0,"",VLOOKUP($A338,RESUMO!$A$8:$B$83,2,FALSE))</f>
        <v/>
      </c>
    </row>
    <row r="339">
      <c r="A339" s="39" t="n">
        <v>45693</v>
      </c>
      <c r="B339" s="53" t="n">
        <v>1</v>
      </c>
      <c r="C339" t="inlineStr">
        <is>
          <t>07249031600</t>
        </is>
      </c>
      <c r="D339" t="inlineStr">
        <is>
          <t>EDER PEREIRA DA SILVA</t>
        </is>
      </c>
      <c r="E339" t="inlineStr">
        <is>
          <t>TRANSPORTE</t>
        </is>
      </c>
      <c r="G339" s="64" t="n">
        <v>43.2</v>
      </c>
      <c r="H339" t="n">
        <v>20</v>
      </c>
      <c r="I339" s="64" t="n">
        <v>864</v>
      </c>
      <c r="J339" s="39" t="n">
        <v>45694</v>
      </c>
      <c r="K339" t="inlineStr">
        <is>
          <t>MO</t>
        </is>
      </c>
      <c r="L339" t="inlineStr">
        <is>
          <t>PIX: 07249031600</t>
        </is>
      </c>
      <c r="N339">
        <f>IF(F339="","NÃO","SIM")</f>
        <v/>
      </c>
      <c r="O339">
        <f>IF($B339=5,"SIM","")</f>
        <v/>
      </c>
      <c r="P339" s="81">
        <f>A339&amp;B339&amp;C339&amp;E339&amp;G339&amp;EDATE(J339,0)</f>
        <v/>
      </c>
      <c r="Q339" s="71">
        <f>IF(A339=0,"",VLOOKUP($A339,RESUMO!$A$8:$B$83,2,FALSE))</f>
        <v/>
      </c>
    </row>
    <row r="340">
      <c r="A340" s="39" t="n">
        <v>45693</v>
      </c>
      <c r="B340" s="53" t="n">
        <v>1</v>
      </c>
      <c r="C340" t="inlineStr">
        <is>
          <t>07249031600</t>
        </is>
      </c>
      <c r="D340" t="inlineStr">
        <is>
          <t>EDER PEREIRA DA SILVA</t>
        </is>
      </c>
      <c r="E340" t="inlineStr">
        <is>
          <t>CAFÉ</t>
        </is>
      </c>
      <c r="G340" s="64" t="n">
        <v>4</v>
      </c>
      <c r="H340" t="n">
        <v>20</v>
      </c>
      <c r="I340" s="64" t="n">
        <v>80</v>
      </c>
      <c r="J340" s="39" t="n">
        <v>45694</v>
      </c>
      <c r="K340" t="inlineStr">
        <is>
          <t>MO</t>
        </is>
      </c>
      <c r="L340" t="inlineStr">
        <is>
          <t>PIX: 07249031600</t>
        </is>
      </c>
      <c r="N340">
        <f>IF(F340="","NÃO","SIM")</f>
        <v/>
      </c>
      <c r="O340">
        <f>IF($B340=5,"SIM","")</f>
        <v/>
      </c>
      <c r="P340" s="81">
        <f>A340&amp;B340&amp;C340&amp;E340&amp;G340&amp;EDATE(J340,0)</f>
        <v/>
      </c>
      <c r="Q340" s="71">
        <f>IF(A340=0,"",VLOOKUP($A340,RESUMO!$A$8:$B$83,2,FALSE))</f>
        <v/>
      </c>
    </row>
    <row r="341">
      <c r="A341" s="39" t="n">
        <v>45693</v>
      </c>
      <c r="B341" s="53" t="n">
        <v>1</v>
      </c>
      <c r="C341" t="inlineStr">
        <is>
          <t>75746980315</t>
        </is>
      </c>
      <c r="D341" t="inlineStr">
        <is>
          <t>FRANCISCO REGO DA SILVA</t>
        </is>
      </c>
      <c r="E341" t="inlineStr">
        <is>
          <t>SALÁRIO</t>
        </is>
      </c>
      <c r="G341" s="64" t="n">
        <v>1771.76</v>
      </c>
      <c r="H341" t="n">
        <v>1</v>
      </c>
      <c r="I341" s="64" t="n">
        <v>1771.76</v>
      </c>
      <c r="J341" s="39" t="n">
        <v>45694</v>
      </c>
      <c r="K341" t="inlineStr">
        <is>
          <t>MO</t>
        </is>
      </c>
      <c r="L341" t="inlineStr">
        <is>
          <t>PIX: 75746980315</t>
        </is>
      </c>
      <c r="N341">
        <f>IF(F341="","NÃO","SIM")</f>
        <v/>
      </c>
      <c r="O341">
        <f>IF($B341=5,"SIM","")</f>
        <v/>
      </c>
      <c r="P341" s="81">
        <f>A341&amp;B341&amp;C341&amp;E341&amp;G341&amp;EDATE(J341,0)</f>
        <v/>
      </c>
      <c r="Q341" s="71">
        <f>IF(A341=0,"",VLOOKUP($A341,RESUMO!$A$8:$B$83,2,FALSE))</f>
        <v/>
      </c>
    </row>
    <row r="342">
      <c r="A342" s="39" t="n">
        <v>45693</v>
      </c>
      <c r="B342" s="53" t="n">
        <v>1</v>
      </c>
      <c r="C342" t="inlineStr">
        <is>
          <t>75746980315</t>
        </is>
      </c>
      <c r="D342" t="inlineStr">
        <is>
          <t>FRANCISCO REGO DA SILVA</t>
        </is>
      </c>
      <c r="E342" t="inlineStr">
        <is>
          <t>TRANSPORTE</t>
        </is>
      </c>
      <c r="G342" s="64" t="n">
        <v>43.2</v>
      </c>
      <c r="H342" t="n">
        <v>20</v>
      </c>
      <c r="I342" s="64" t="n">
        <v>864</v>
      </c>
      <c r="J342" s="39" t="n">
        <v>45694</v>
      </c>
      <c r="K342" t="inlineStr">
        <is>
          <t>MO</t>
        </is>
      </c>
      <c r="L342" t="inlineStr">
        <is>
          <t>PIX: 75746980315</t>
        </is>
      </c>
      <c r="N342">
        <f>IF(F342="","NÃO","SIM")</f>
        <v/>
      </c>
      <c r="O342">
        <f>IF($B342=5,"SIM","")</f>
        <v/>
      </c>
      <c r="P342" s="81">
        <f>A342&amp;B342&amp;C342&amp;E342&amp;G342&amp;EDATE(J342,0)</f>
        <v/>
      </c>
      <c r="Q342" s="71">
        <f>IF(A342=0,"",VLOOKUP($A342,RESUMO!$A$8:$B$83,2,FALSE))</f>
        <v/>
      </c>
    </row>
    <row r="343">
      <c r="A343" s="39" t="n">
        <v>45693</v>
      </c>
      <c r="B343" s="53" t="n">
        <v>1</v>
      </c>
      <c r="C343" t="inlineStr">
        <is>
          <t>75746980315</t>
        </is>
      </c>
      <c r="D343" t="inlineStr">
        <is>
          <t>FRANCISCO REGO DA SILVA</t>
        </is>
      </c>
      <c r="E343" t="inlineStr">
        <is>
          <t>CAFÉ</t>
        </is>
      </c>
      <c r="G343" s="64" t="n">
        <v>4</v>
      </c>
      <c r="H343" t="n">
        <v>20</v>
      </c>
      <c r="I343" s="64" t="n">
        <v>80</v>
      </c>
      <c r="J343" s="39" t="n">
        <v>45694</v>
      </c>
      <c r="K343" t="inlineStr">
        <is>
          <t>MO</t>
        </is>
      </c>
      <c r="L343" t="inlineStr">
        <is>
          <t>PIX: 75746980315</t>
        </is>
      </c>
      <c r="N343">
        <f>IF(F343="","NÃO","SIM")</f>
        <v/>
      </c>
      <c r="O343">
        <f>IF($B343=5,"SIM","")</f>
        <v/>
      </c>
      <c r="P343" s="81">
        <f>A343&amp;B343&amp;C343&amp;E343&amp;G343&amp;EDATE(J343,0)</f>
        <v/>
      </c>
      <c r="Q343" s="71">
        <f>IF(A343=0,"",VLOOKUP($A343,RESUMO!$A$8:$B$83,2,FALSE))</f>
        <v/>
      </c>
    </row>
    <row r="344">
      <c r="A344" s="39" t="n">
        <v>45693</v>
      </c>
      <c r="B344" s="53" t="n">
        <v>1</v>
      </c>
      <c r="C344" t="inlineStr">
        <is>
          <t>14758063613</t>
        </is>
      </c>
      <c r="D344" t="inlineStr">
        <is>
          <t>IZAEL BISPO OLIVEIRA</t>
        </is>
      </c>
      <c r="E344" t="inlineStr">
        <is>
          <t>SALÁRIO</t>
        </is>
      </c>
      <c r="G344" s="64" t="n">
        <v>1993.8</v>
      </c>
      <c r="H344" t="n">
        <v>1</v>
      </c>
      <c r="I344" s="64" t="n">
        <v>1993.8</v>
      </c>
      <c r="J344" s="39" t="n">
        <v>45694</v>
      </c>
      <c r="K344" t="inlineStr">
        <is>
          <t>MO</t>
        </is>
      </c>
      <c r="L344" t="inlineStr">
        <is>
          <t>PIX: 14758063613</t>
        </is>
      </c>
      <c r="N344">
        <f>IF(F344="","NÃO","SIM")</f>
        <v/>
      </c>
      <c r="O344">
        <f>IF($B344=5,"SIM","")</f>
        <v/>
      </c>
      <c r="P344" s="81">
        <f>A344&amp;B344&amp;C344&amp;E344&amp;G344&amp;EDATE(J344,0)</f>
        <v/>
      </c>
      <c r="Q344" s="71">
        <f>IF(A344=0,"",VLOOKUP($A344,RESUMO!$A$8:$B$83,2,FALSE))</f>
        <v/>
      </c>
    </row>
    <row r="345">
      <c r="A345" s="39" t="n">
        <v>45693</v>
      </c>
      <c r="B345" s="53" t="n">
        <v>1</v>
      </c>
      <c r="C345" t="inlineStr">
        <is>
          <t>14758063613</t>
        </is>
      </c>
      <c r="D345" t="inlineStr">
        <is>
          <t>IZAEL BISPO OLIVEIRA</t>
        </is>
      </c>
      <c r="E345" t="inlineStr">
        <is>
          <t>TRANSPORTE</t>
        </is>
      </c>
      <c r="G345" s="64" t="n">
        <v>44.8</v>
      </c>
      <c r="H345" t="n">
        <v>18</v>
      </c>
      <c r="I345" s="64" t="n">
        <v>806.4</v>
      </c>
      <c r="J345" s="39" t="n">
        <v>45694</v>
      </c>
      <c r="K345" t="inlineStr">
        <is>
          <t>MO</t>
        </is>
      </c>
      <c r="L345" t="inlineStr">
        <is>
          <t>PIX: 14758063613</t>
        </is>
      </c>
      <c r="N345">
        <f>IF(F345="","NÃO","SIM")</f>
        <v/>
      </c>
      <c r="O345">
        <f>IF($B345=5,"SIM","")</f>
        <v/>
      </c>
      <c r="P345" s="81">
        <f>A345&amp;B345&amp;C345&amp;E345&amp;G345&amp;EDATE(J345,0)</f>
        <v/>
      </c>
      <c r="Q345" s="71">
        <f>IF(A345=0,"",VLOOKUP($A345,RESUMO!$A$8:$B$83,2,FALSE))</f>
        <v/>
      </c>
    </row>
    <row r="346">
      <c r="A346" s="39" t="n">
        <v>45693</v>
      </c>
      <c r="B346" s="53" t="n">
        <v>1</v>
      </c>
      <c r="C346" t="inlineStr">
        <is>
          <t>14758063613</t>
        </is>
      </c>
      <c r="D346" t="inlineStr">
        <is>
          <t>IZAEL BISPO OLIVEIRA</t>
        </is>
      </c>
      <c r="E346" t="inlineStr">
        <is>
          <t>CAFÉ</t>
        </is>
      </c>
      <c r="G346" s="64" t="n">
        <v>4</v>
      </c>
      <c r="H346" t="n">
        <v>18</v>
      </c>
      <c r="I346" s="64" t="n">
        <v>72</v>
      </c>
      <c r="J346" s="39" t="n">
        <v>45694</v>
      </c>
      <c r="K346" t="inlineStr">
        <is>
          <t>MO</t>
        </is>
      </c>
      <c r="L346" t="inlineStr">
        <is>
          <t>PIX: 14758063613</t>
        </is>
      </c>
      <c r="N346">
        <f>IF(F346="","NÃO","SIM")</f>
        <v/>
      </c>
      <c r="O346">
        <f>IF($B346=5,"SIM","")</f>
        <v/>
      </c>
      <c r="P346" s="81">
        <f>A346&amp;B346&amp;C346&amp;E346&amp;G346&amp;EDATE(J346,0)</f>
        <v/>
      </c>
      <c r="Q346" s="71">
        <f>IF(A346=0,"",VLOOKUP($A346,RESUMO!$A$8:$B$83,2,FALSE))</f>
        <v/>
      </c>
    </row>
    <row r="347">
      <c r="A347" s="39" t="n">
        <v>45693</v>
      </c>
      <c r="B347" s="53" t="n">
        <v>1</v>
      </c>
      <c r="C347" t="inlineStr">
        <is>
          <t>01980098603</t>
        </is>
      </c>
      <c r="D347" t="inlineStr">
        <is>
          <t>LUCAS CATALUNHA DA SILVA</t>
        </is>
      </c>
      <c r="E347" t="inlineStr">
        <is>
          <t>SALÁRIO</t>
        </is>
      </c>
      <c r="G347" s="64" t="n">
        <v>1179.1</v>
      </c>
      <c r="H347" t="n">
        <v>1</v>
      </c>
      <c r="I347" s="64" t="n">
        <v>1179.1</v>
      </c>
      <c r="J347" s="39" t="n">
        <v>45694</v>
      </c>
      <c r="K347" t="inlineStr">
        <is>
          <t>MO</t>
        </is>
      </c>
      <c r="L347" t="inlineStr">
        <is>
          <t>PIX: 01980098603</t>
        </is>
      </c>
      <c r="N347">
        <f>IF(F347="","NÃO","SIM")</f>
        <v/>
      </c>
      <c r="O347">
        <f>IF($B347=5,"SIM","")</f>
        <v/>
      </c>
      <c r="P347" s="81">
        <f>A347&amp;B347&amp;C347&amp;E347&amp;G347&amp;EDATE(J347,0)</f>
        <v/>
      </c>
      <c r="Q347" s="71">
        <f>IF(A347=0,"",VLOOKUP($A347,RESUMO!$A$8:$B$83,2,FALSE))</f>
        <v/>
      </c>
    </row>
    <row r="348">
      <c r="A348" s="39" t="n">
        <v>45693</v>
      </c>
      <c r="B348" s="53" t="n">
        <v>1</v>
      </c>
      <c r="C348" t="inlineStr">
        <is>
          <t>01980098603</t>
        </is>
      </c>
      <c r="D348" t="inlineStr">
        <is>
          <t>LUCAS CATALUNHA DA SILVA</t>
        </is>
      </c>
      <c r="E348" t="inlineStr">
        <is>
          <t>TRANSPORTE</t>
        </is>
      </c>
      <c r="G348" s="64" t="n">
        <v>43.2</v>
      </c>
      <c r="H348" t="n">
        <v>18</v>
      </c>
      <c r="I348" s="64" t="n">
        <v>777.6</v>
      </c>
      <c r="J348" s="39" t="n">
        <v>45694</v>
      </c>
      <c r="K348" t="inlineStr">
        <is>
          <t>MO</t>
        </is>
      </c>
      <c r="L348" t="inlineStr">
        <is>
          <t>PIX: 01980098603</t>
        </is>
      </c>
      <c r="N348">
        <f>IF(F348="","NÃO","SIM")</f>
        <v/>
      </c>
      <c r="O348">
        <f>IF($B348=5,"SIM","")</f>
        <v/>
      </c>
      <c r="P348" s="81">
        <f>A348&amp;B348&amp;C348&amp;E348&amp;G348&amp;EDATE(J348,0)</f>
        <v/>
      </c>
      <c r="Q348" s="71">
        <f>IF(A348=0,"",VLOOKUP($A348,RESUMO!$A$8:$B$83,2,FALSE))</f>
        <v/>
      </c>
    </row>
    <row r="349">
      <c r="A349" s="39" t="n">
        <v>45693</v>
      </c>
      <c r="B349" s="53" t="n">
        <v>1</v>
      </c>
      <c r="C349" t="inlineStr">
        <is>
          <t>01980098603</t>
        </is>
      </c>
      <c r="D349" t="inlineStr">
        <is>
          <t>LUCAS CATALUNHA DA SILVA</t>
        </is>
      </c>
      <c r="E349" t="inlineStr">
        <is>
          <t>CAFÉ</t>
        </is>
      </c>
      <c r="G349" s="64" t="n">
        <v>4</v>
      </c>
      <c r="H349" t="n">
        <v>18</v>
      </c>
      <c r="I349" s="64" t="n">
        <v>72</v>
      </c>
      <c r="J349" s="39" t="n">
        <v>45694</v>
      </c>
      <c r="K349" t="inlineStr">
        <is>
          <t>MO</t>
        </is>
      </c>
      <c r="L349" t="inlineStr">
        <is>
          <t>PIX: 01980098603</t>
        </is>
      </c>
      <c r="N349">
        <f>IF(F349="","NÃO","SIM")</f>
        <v/>
      </c>
      <c r="O349">
        <f>IF($B349=5,"SIM","")</f>
        <v/>
      </c>
      <c r="P349" s="81">
        <f>A349&amp;B349&amp;C349&amp;E349&amp;G349&amp;EDATE(J349,0)</f>
        <v/>
      </c>
      <c r="Q349" s="71">
        <f>IF(A349=0,"",VLOOKUP($A349,RESUMO!$A$8:$B$83,2,FALSE))</f>
        <v/>
      </c>
    </row>
    <row r="350">
      <c r="A350" s="39" t="n">
        <v>45693</v>
      </c>
      <c r="B350" s="53" t="n">
        <v>1</v>
      </c>
      <c r="C350" t="inlineStr">
        <is>
          <t>02038736375</t>
        </is>
      </c>
      <c r="D350" t="inlineStr">
        <is>
          <t>MARCELO FERNANDES DE ALMEIDA</t>
        </is>
      </c>
      <c r="E350" t="inlineStr">
        <is>
          <t>DIÁRIA</t>
        </is>
      </c>
      <c r="G350" s="64" t="n">
        <v>250</v>
      </c>
      <c r="H350" t="n">
        <v>7</v>
      </c>
      <c r="I350" s="64" t="n">
        <v>1750</v>
      </c>
      <c r="J350" s="39" t="n">
        <v>45694</v>
      </c>
      <c r="K350" t="inlineStr">
        <is>
          <t>MO</t>
        </is>
      </c>
      <c r="L350" t="inlineStr">
        <is>
          <t>PIX: 31 994629438</t>
        </is>
      </c>
      <c r="N350">
        <f>IF(F350="","NÃO","SIM")</f>
        <v/>
      </c>
      <c r="O350">
        <f>IF($B350=5,"SIM","")</f>
        <v/>
      </c>
      <c r="P350" s="81">
        <f>A350&amp;B350&amp;C350&amp;E350&amp;G350&amp;EDATE(J350,0)</f>
        <v/>
      </c>
      <c r="Q350" s="71">
        <f>IF(A350=0,"",VLOOKUP($A350,RESUMO!$A$8:$B$83,2,FALSE))</f>
        <v/>
      </c>
    </row>
    <row r="351">
      <c r="A351" s="39" t="n">
        <v>45693</v>
      </c>
      <c r="B351" s="53" t="n">
        <v>1</v>
      </c>
      <c r="C351" t="inlineStr">
        <is>
          <t>36404993600</t>
        </is>
      </c>
      <c r="D351" t="inlineStr">
        <is>
          <t xml:space="preserve">NIVALDO DA SILVA </t>
        </is>
      </c>
      <c r="E351" t="inlineStr">
        <is>
          <t>DIÁRIA</t>
        </is>
      </c>
      <c r="G351" s="64" t="n">
        <v>270</v>
      </c>
      <c r="H351" t="n">
        <v>11</v>
      </c>
      <c r="I351" s="64" t="n">
        <v>2970</v>
      </c>
      <c r="J351" s="39" t="n">
        <v>45694</v>
      </c>
      <c r="K351" t="inlineStr">
        <is>
          <t>MO</t>
        </is>
      </c>
      <c r="L351" t="inlineStr">
        <is>
          <t>PIX: 36404993600</t>
        </is>
      </c>
      <c r="N351">
        <f>IF(F351="","NÃO","SIM")</f>
        <v/>
      </c>
      <c r="O351">
        <f>IF($B351=5,"SIM","")</f>
        <v/>
      </c>
      <c r="P351" s="81">
        <f>A351&amp;B351&amp;C351&amp;E351&amp;G351&amp;EDATE(J351,0)</f>
        <v/>
      </c>
      <c r="Q351" s="71">
        <f>IF(A351=0,"",VLOOKUP($A351,RESUMO!$A$8:$B$83,2,FALSE))</f>
        <v/>
      </c>
    </row>
    <row r="352">
      <c r="A352" s="39" t="n">
        <v>45693</v>
      </c>
      <c r="B352" s="53" t="n">
        <v>1</v>
      </c>
      <c r="C352" t="inlineStr">
        <is>
          <t>85086894387</t>
        </is>
      </c>
      <c r="D352" t="inlineStr">
        <is>
          <t>ROBERVAL PORTACIO DOS SANTOS</t>
        </is>
      </c>
      <c r="E352" t="inlineStr">
        <is>
          <t>SALÁRIO</t>
        </is>
      </c>
      <c r="G352" s="64" t="n">
        <v>1230.08</v>
      </c>
      <c r="H352" t="n">
        <v>1</v>
      </c>
      <c r="I352" s="64" t="n">
        <v>1230.08</v>
      </c>
      <c r="J352" s="39" t="n">
        <v>45694</v>
      </c>
      <c r="K352" t="inlineStr">
        <is>
          <t>MO</t>
        </is>
      </c>
      <c r="L352" t="inlineStr">
        <is>
          <t>PIX: 31971706400</t>
        </is>
      </c>
      <c r="N352">
        <f>IF(F352="","NÃO","SIM")</f>
        <v/>
      </c>
      <c r="O352">
        <f>IF($B352=5,"SIM","")</f>
        <v/>
      </c>
      <c r="P352" s="81">
        <f>A352&amp;B352&amp;C352&amp;E352&amp;G352&amp;EDATE(J352,0)</f>
        <v/>
      </c>
      <c r="Q352" s="71">
        <f>IF(A352=0,"",VLOOKUP($A352,RESUMO!$A$8:$B$83,2,FALSE))</f>
        <v/>
      </c>
    </row>
    <row r="353">
      <c r="A353" s="39" t="n">
        <v>45693</v>
      </c>
      <c r="B353" s="53" t="n">
        <v>1</v>
      </c>
      <c r="C353" t="inlineStr">
        <is>
          <t>85086894387</t>
        </is>
      </c>
      <c r="D353" t="inlineStr">
        <is>
          <t>ROBERVAL PORTACIO DOS SANTOS</t>
        </is>
      </c>
      <c r="E353" t="inlineStr">
        <is>
          <t>TRANSPORTE</t>
        </is>
      </c>
      <c r="G353" s="64" t="n">
        <v>43.2</v>
      </c>
      <c r="H353" t="n">
        <v>20</v>
      </c>
      <c r="I353" s="64" t="n">
        <v>864</v>
      </c>
      <c r="J353" s="39" t="n">
        <v>45694</v>
      </c>
      <c r="K353" t="inlineStr">
        <is>
          <t>MO</t>
        </is>
      </c>
      <c r="L353" t="inlineStr">
        <is>
          <t>PIX: 31971706400</t>
        </is>
      </c>
      <c r="N353">
        <f>IF(F353="","NÃO","SIM")</f>
        <v/>
      </c>
      <c r="O353">
        <f>IF($B353=5,"SIM","")</f>
        <v/>
      </c>
      <c r="P353" s="81">
        <f>A353&amp;B353&amp;C353&amp;E353&amp;G353&amp;EDATE(J353,0)</f>
        <v/>
      </c>
      <c r="Q353" s="71">
        <f>IF(A353=0,"",VLOOKUP($A353,RESUMO!$A$8:$B$83,2,FALSE))</f>
        <v/>
      </c>
    </row>
    <row r="354">
      <c r="A354" s="39" t="n">
        <v>45693</v>
      </c>
      <c r="B354" s="53" t="n">
        <v>1</v>
      </c>
      <c r="C354" t="inlineStr">
        <is>
          <t>85086894387</t>
        </is>
      </c>
      <c r="D354" t="inlineStr">
        <is>
          <t>ROBERVAL PORTACIO DOS SANTOS</t>
        </is>
      </c>
      <c r="E354" t="inlineStr">
        <is>
          <t>CAFÉ</t>
        </is>
      </c>
      <c r="G354" s="64" t="n">
        <v>4</v>
      </c>
      <c r="H354" t="n">
        <v>20</v>
      </c>
      <c r="I354" s="64" t="n">
        <v>80</v>
      </c>
      <c r="J354" s="39" t="n">
        <v>45694</v>
      </c>
      <c r="K354" t="inlineStr">
        <is>
          <t>MO</t>
        </is>
      </c>
      <c r="L354" t="inlineStr">
        <is>
          <t>PIX: 31971706400</t>
        </is>
      </c>
      <c r="N354">
        <f>IF(F354="","NÃO","SIM")</f>
        <v/>
      </c>
      <c r="O354">
        <f>IF($B354=5,"SIM","")</f>
        <v/>
      </c>
      <c r="P354" s="81">
        <f>A354&amp;B354&amp;C354&amp;E354&amp;G354&amp;EDATE(J354,0)</f>
        <v/>
      </c>
      <c r="Q354" s="71">
        <f>IF(A354=0,"",VLOOKUP($A354,RESUMO!$A$8:$B$83,2,FALSE))</f>
        <v/>
      </c>
    </row>
    <row r="355">
      <c r="A355" s="39" t="n">
        <v>45693</v>
      </c>
      <c r="B355" s="53" t="n">
        <v>2</v>
      </c>
      <c r="C355" t="inlineStr">
        <is>
          <t>78068991620</t>
        </is>
      </c>
      <c r="D355" t="inlineStr">
        <is>
          <t xml:space="preserve">GERALDO LUCIANO FERREIRA </t>
        </is>
      </c>
      <c r="E355" t="inlineStr">
        <is>
          <t>ESCAVAÇÃO DE RETANGULÃO</t>
        </is>
      </c>
      <c r="G355" s="64" t="n">
        <v>20396.8</v>
      </c>
      <c r="H355" t="n">
        <v>1</v>
      </c>
      <c r="I355" s="64" t="n">
        <v>20396.8</v>
      </c>
      <c r="J355" s="39" t="n">
        <v>45694</v>
      </c>
      <c r="K355" t="inlineStr">
        <is>
          <t>SERV</t>
        </is>
      </c>
      <c r="L355" t="inlineStr">
        <is>
          <t>ITAÚ  - 8562 37658</t>
        </is>
      </c>
      <c r="N355">
        <f>IF(F355="","NÃO","SIM")</f>
        <v/>
      </c>
      <c r="O355">
        <f>IF($B355=5,"SIM","")</f>
        <v/>
      </c>
      <c r="P355" s="81">
        <f>A355&amp;B355&amp;C355&amp;E355&amp;G355&amp;EDATE(J355,0)</f>
        <v/>
      </c>
      <c r="Q355" s="71">
        <f>IF(A355=0,"",VLOOKUP($A355,RESUMO!$A$8:$B$83,2,FALSE))</f>
        <v/>
      </c>
    </row>
    <row r="356">
      <c r="A356" s="39" t="n">
        <v>45693</v>
      </c>
      <c r="B356" s="53" t="n">
        <v>3</v>
      </c>
      <c r="C356" t="inlineStr">
        <is>
          <t>00000011126</t>
        </is>
      </c>
      <c r="D356" t="inlineStr">
        <is>
          <t>MHS MENSALIDADE</t>
        </is>
      </c>
      <c r="E356" t="inlineStr">
        <is>
          <t>COMPETENCIA 01/2025 - NF A EMITIR</t>
        </is>
      </c>
      <c r="G356" s="64" t="n">
        <v>744</v>
      </c>
      <c r="H356" t="n">
        <v>1</v>
      </c>
      <c r="I356" s="64" t="n">
        <v>744</v>
      </c>
      <c r="J356" s="39" t="n">
        <v>45694</v>
      </c>
      <c r="K356" t="inlineStr">
        <is>
          <t>MO</t>
        </is>
      </c>
      <c r="L356" t="inlineStr">
        <is>
          <t>PIX: 31995901635</t>
        </is>
      </c>
      <c r="N356">
        <f>IF(F356="","NÃO","SIM")</f>
        <v/>
      </c>
      <c r="O356">
        <f>IF($B356=5,"SIM","")</f>
        <v/>
      </c>
      <c r="P356" s="81">
        <f>A356&amp;B356&amp;C356&amp;E356&amp;G356&amp;EDATE(J356,0)</f>
        <v/>
      </c>
      <c r="Q356" s="71">
        <f>IF(A356=0,"",VLOOKUP($A356,RESUMO!$A$8:$B$83,2,FALSE))</f>
        <v/>
      </c>
    </row>
    <row r="357">
      <c r="A357" s="39" t="n">
        <v>45693</v>
      </c>
      <c r="B357" s="53" t="n">
        <v>3</v>
      </c>
      <c r="C357" t="inlineStr">
        <is>
          <t>00000011207</t>
        </is>
      </c>
      <c r="D357" t="inlineStr">
        <is>
          <t>MOTOBOY</t>
        </is>
      </c>
      <c r="E357" t="inlineStr">
        <is>
          <t>COMPETENCIA 01/2025</t>
        </is>
      </c>
      <c r="G357" s="64" t="n">
        <v>146</v>
      </c>
      <c r="H357" t="n">
        <v>1</v>
      </c>
      <c r="I357" s="64" t="n">
        <v>146</v>
      </c>
      <c r="J357" s="39" t="n">
        <v>45694</v>
      </c>
      <c r="K357" t="inlineStr">
        <is>
          <t>DIV</t>
        </is>
      </c>
      <c r="L357" t="inlineStr">
        <is>
          <t>PIX: 31995901635</t>
        </is>
      </c>
      <c r="N357">
        <f>IF(F357="","NÃO","SIM")</f>
        <v/>
      </c>
      <c r="O357">
        <f>IF($B357=5,"SIM","")</f>
        <v/>
      </c>
      <c r="P357" s="81">
        <f>A357&amp;B357&amp;C357&amp;E357&amp;G357&amp;EDATE(J357,0)</f>
        <v/>
      </c>
      <c r="Q357" s="71">
        <f>IF(A357=0,"",VLOOKUP($A357,RESUMO!$A$8:$B$83,2,FALSE))</f>
        <v/>
      </c>
    </row>
    <row r="358">
      <c r="A358" s="39" t="n">
        <v>45693</v>
      </c>
      <c r="B358" s="53" t="n">
        <v>3</v>
      </c>
      <c r="C358" t="inlineStr">
        <is>
          <t>00000011398</t>
        </is>
      </c>
      <c r="D358" t="inlineStr">
        <is>
          <t>FOLHA DP</t>
        </is>
      </c>
      <c r="E358" t="inlineStr">
        <is>
          <t>COMPETENCIA 01/2025</t>
        </is>
      </c>
      <c r="G358" s="64" t="n">
        <v>910.8</v>
      </c>
      <c r="H358" t="n">
        <v>1</v>
      </c>
      <c r="I358" s="64" t="n">
        <v>910.8</v>
      </c>
      <c r="J358" s="39" t="n">
        <v>45694</v>
      </c>
      <c r="K358" t="inlineStr">
        <is>
          <t>MO</t>
        </is>
      </c>
      <c r="L358" t="inlineStr">
        <is>
          <t>PIX: 31995901635</t>
        </is>
      </c>
      <c r="N358">
        <f>IF(F358="","NÃO","SIM")</f>
        <v/>
      </c>
      <c r="O358">
        <f>IF($B358=5,"SIM","")</f>
        <v/>
      </c>
      <c r="P358" s="81">
        <f>A358&amp;B358&amp;C358&amp;E358&amp;G358&amp;EDATE(J358,0)</f>
        <v/>
      </c>
      <c r="Q358" s="71">
        <f>IF(A358=0,"",VLOOKUP($A358,RESUMO!$A$8:$B$83,2,FALSE))</f>
        <v/>
      </c>
    </row>
    <row r="359">
      <c r="A359" s="39" t="n">
        <v>45693</v>
      </c>
      <c r="B359" s="53" t="n">
        <v>3</v>
      </c>
      <c r="C359" s="63" t="inlineStr">
        <is>
          <t>10559527000104</t>
        </is>
      </c>
      <c r="D359" t="inlineStr">
        <is>
          <t>LOCA MUNCK</t>
        </is>
      </c>
      <c r="E359" t="inlineStr">
        <is>
          <t xml:space="preserve">LOCAÇÃO DE CAMINHÃO MUNCK - BOLETO A EMITIR </t>
        </is>
      </c>
      <c r="G359" s="64" t="n">
        <v>3300</v>
      </c>
      <c r="H359" t="n">
        <v>1</v>
      </c>
      <c r="I359" s="64" t="n">
        <v>3300</v>
      </c>
      <c r="J359" s="39" t="n">
        <v>45695</v>
      </c>
      <c r="K359" t="inlineStr">
        <is>
          <t>SERV</t>
        </is>
      </c>
      <c r="L359" t="inlineStr">
        <is>
          <t>-</t>
        </is>
      </c>
      <c r="N359">
        <f>IF(F359="","NÃO","SIM")</f>
        <v/>
      </c>
      <c r="O359">
        <f>IF($B359=5,"SIM","")</f>
        <v/>
      </c>
      <c r="P359" s="81">
        <f>A359&amp;B359&amp;C359&amp;E359&amp;G359&amp;EDATE(J359,0)</f>
        <v/>
      </c>
      <c r="Q359" s="71">
        <f>IF(A359=0,"",VLOOKUP($A359,RESUMO!$A$8:$B$83,2,FALSE))</f>
        <v/>
      </c>
    </row>
    <row r="360">
      <c r="A360" s="39" t="n">
        <v>45693</v>
      </c>
      <c r="B360" s="53" t="n">
        <v>3</v>
      </c>
      <c r="C360" t="inlineStr">
        <is>
          <t>07409393000130</t>
        </is>
      </c>
      <c r="D360" t="inlineStr">
        <is>
          <t>LOCFER</t>
        </is>
      </c>
      <c r="E360" t="inlineStr">
        <is>
          <t>MARTELETE E BETONEIRA</t>
        </is>
      </c>
      <c r="F360" t="inlineStr">
        <is>
          <t>27465</t>
        </is>
      </c>
      <c r="G360" s="64" t="n">
        <v>555</v>
      </c>
      <c r="H360" t="n">
        <v>1</v>
      </c>
      <c r="I360" s="64" t="n">
        <v>555</v>
      </c>
      <c r="J360" s="39" t="n">
        <v>45698</v>
      </c>
      <c r="K360" t="inlineStr">
        <is>
          <t>LOC</t>
        </is>
      </c>
      <c r="L360" t="inlineStr">
        <is>
          <t>-</t>
        </is>
      </c>
      <c r="N360">
        <f>IF(F360="","NÃO","SIM")</f>
        <v/>
      </c>
      <c r="O360">
        <f>IF($B360=5,"SIM","")</f>
        <v/>
      </c>
      <c r="P360" s="81">
        <f>A360&amp;B360&amp;C360&amp;E360&amp;G360&amp;EDATE(J360,0)</f>
        <v/>
      </c>
      <c r="Q360" s="71">
        <f>IF(A360=0,"",VLOOKUP($A360,RESUMO!$A$8:$B$83,2,FALSE))</f>
        <v/>
      </c>
    </row>
    <row r="361">
      <c r="A361" s="39" t="n">
        <v>45693</v>
      </c>
      <c r="B361" s="53" t="n">
        <v>3</v>
      </c>
      <c r="C361" t="inlineStr">
        <is>
          <t>07409393000130</t>
        </is>
      </c>
      <c r="D361" t="inlineStr">
        <is>
          <t>LOCFER</t>
        </is>
      </c>
      <c r="E361" t="inlineStr">
        <is>
          <t>MARTELO</t>
        </is>
      </c>
      <c r="F361" t="inlineStr">
        <is>
          <t>27520</t>
        </is>
      </c>
      <c r="G361" s="64" t="n">
        <v>960</v>
      </c>
      <c r="H361" t="n">
        <v>1</v>
      </c>
      <c r="I361" s="64" t="n">
        <v>960</v>
      </c>
      <c r="J361" s="39" t="n">
        <v>45705</v>
      </c>
      <c r="K361" t="inlineStr">
        <is>
          <t>LOC</t>
        </is>
      </c>
      <c r="L361" t="inlineStr">
        <is>
          <t>-</t>
        </is>
      </c>
      <c r="N361">
        <f>IF(F361="","NÃO","SIM")</f>
        <v/>
      </c>
      <c r="O361">
        <f>IF($B361=5,"SIM","")</f>
        <v/>
      </c>
      <c r="P361" s="81">
        <f>A361&amp;B361&amp;C361&amp;E361&amp;G361&amp;EDATE(J361,0)</f>
        <v/>
      </c>
      <c r="Q361" s="71">
        <f>IF(A361=0,"",VLOOKUP($A361,RESUMO!$A$8:$B$83,2,FALSE))</f>
        <v/>
      </c>
    </row>
    <row r="362">
      <c r="A362" s="39" t="n">
        <v>45693</v>
      </c>
      <c r="B362" s="53" t="n">
        <v>5</v>
      </c>
      <c r="C362" t="inlineStr">
        <is>
          <t>00037410600</t>
        </is>
      </c>
      <c r="D362" t="inlineStr">
        <is>
          <t>ERNANI BRITO DA CRUZ</t>
        </is>
      </c>
      <c r="E362" t="inlineStr">
        <is>
          <t>FRETE UNIFORMES</t>
        </is>
      </c>
      <c r="G362" s="64" t="n">
        <v>20</v>
      </c>
      <c r="H362" t="n">
        <v>1</v>
      </c>
      <c r="I362" s="64" t="n">
        <v>20</v>
      </c>
      <c r="J362" s="39" t="n">
        <v>45663</v>
      </c>
      <c r="K362" t="inlineStr">
        <is>
          <t>DIV</t>
        </is>
      </c>
      <c r="L362" t="inlineStr">
        <is>
          <t>-</t>
        </is>
      </c>
      <c r="N362">
        <f>IF(F362="","NÃO","SIM")</f>
        <v/>
      </c>
      <c r="O362">
        <f>IF($B362=5,"SIM","")</f>
        <v/>
      </c>
      <c r="P362" s="81">
        <f>A362&amp;B362&amp;C362&amp;E362&amp;G362&amp;EDATE(J362,0)</f>
        <v/>
      </c>
      <c r="Q362" s="71">
        <f>IF(A362=0,"",VLOOKUP($A362,RESUMO!$A$8:$B$83,2,FALSE))</f>
        <v/>
      </c>
    </row>
    <row r="363">
      <c r="A363" s="39" t="n">
        <v>45693</v>
      </c>
      <c r="B363" s="53" t="n">
        <v>5</v>
      </c>
      <c r="C363" t="inlineStr">
        <is>
          <t>13938283000169</t>
        </is>
      </c>
      <c r="D363" t="inlineStr">
        <is>
          <t>BETON MIX</t>
        </is>
      </c>
      <c r="E363" t="inlineStr">
        <is>
          <t>CONCRETAGEM - 50%</t>
        </is>
      </c>
      <c r="F363" t="inlineStr">
        <is>
          <t>2061</t>
        </is>
      </c>
      <c r="G363" s="64" t="n">
        <v>27840</v>
      </c>
      <c r="H363" t="n">
        <v>1</v>
      </c>
      <c r="I363" s="64" t="n">
        <v>27840</v>
      </c>
      <c r="J363" s="39" t="n">
        <v>45677</v>
      </c>
      <c r="K363" t="inlineStr">
        <is>
          <t>MAT</t>
        </is>
      </c>
      <c r="L363" t="inlineStr">
        <is>
          <t>-</t>
        </is>
      </c>
      <c r="N363">
        <f>IF(F363="","NÃO","SIM")</f>
        <v/>
      </c>
      <c r="O363">
        <f>IF($B363=5,"SIM","")</f>
        <v/>
      </c>
      <c r="P363" s="81">
        <f>A363&amp;B363&amp;C363&amp;E363&amp;G363&amp;EDATE(J363,0)</f>
        <v/>
      </c>
      <c r="Q363" s="71">
        <f>IF(A363=0,"",VLOOKUP($A363,RESUMO!$A$8:$B$83,2,FALSE))</f>
        <v/>
      </c>
    </row>
    <row r="364">
      <c r="A364" s="39" t="n">
        <v>45693</v>
      </c>
      <c r="B364" s="53" t="n">
        <v>5</v>
      </c>
      <c r="C364" t="inlineStr">
        <is>
          <t>13938283000169</t>
        </is>
      </c>
      <c r="D364" t="inlineStr">
        <is>
          <t>BETON MIX</t>
        </is>
      </c>
      <c r="E364" t="inlineStr">
        <is>
          <t>CONCRETAGEM - 50%</t>
        </is>
      </c>
      <c r="F364" t="inlineStr">
        <is>
          <t>2061</t>
        </is>
      </c>
      <c r="G364" s="64" t="n">
        <v>27840</v>
      </c>
      <c r="H364" t="n">
        <v>1</v>
      </c>
      <c r="I364" s="64" t="n">
        <v>27840</v>
      </c>
      <c r="J364" s="39" t="n">
        <v>45678</v>
      </c>
      <c r="K364" t="inlineStr">
        <is>
          <t>MAT</t>
        </is>
      </c>
      <c r="L364" t="inlineStr">
        <is>
          <t>-</t>
        </is>
      </c>
      <c r="N364">
        <f>IF(F364="","NÃO","SIM")</f>
        <v/>
      </c>
      <c r="O364">
        <f>IF($B364=5,"SIM","")</f>
        <v/>
      </c>
      <c r="P364" s="81">
        <f>A364&amp;B364&amp;C364&amp;E364&amp;G364&amp;EDATE(J364,0)</f>
        <v/>
      </c>
      <c r="Q364" s="71">
        <f>IF(A364=0,"",VLOOKUP($A364,RESUMO!$A$8:$B$83,2,FALSE))</f>
        <v/>
      </c>
    </row>
    <row r="365">
      <c r="A365" s="39" t="n">
        <v>45693</v>
      </c>
      <c r="B365" s="53" t="n">
        <v>5</v>
      </c>
      <c r="C365" t="inlineStr">
        <is>
          <t>17469701000177</t>
        </is>
      </c>
      <c r="D365" t="inlineStr">
        <is>
          <t>ARCELORMITTAL BRASIL</t>
        </is>
      </c>
      <c r="E365" t="inlineStr">
        <is>
          <t>AÇO</t>
        </is>
      </c>
      <c r="F365" t="inlineStr">
        <is>
          <t>406962</t>
        </is>
      </c>
      <c r="G365" s="64" t="n">
        <v>22155.25</v>
      </c>
      <c r="H365" t="n">
        <v>1</v>
      </c>
      <c r="I365" s="64" t="n">
        <v>22155.25</v>
      </c>
      <c r="J365" s="39" t="n">
        <v>45678</v>
      </c>
      <c r="K365" t="inlineStr">
        <is>
          <t>MAT</t>
        </is>
      </c>
      <c r="L365" t="inlineStr">
        <is>
          <t>PIX: 17469701000177</t>
        </is>
      </c>
      <c r="N365">
        <f>IF(F365="","NÃO","SIM")</f>
        <v/>
      </c>
      <c r="O365">
        <f>IF($B365=5,"SIM","")</f>
        <v/>
      </c>
      <c r="P365" s="81">
        <f>A365&amp;B365&amp;C365&amp;E365&amp;G365&amp;EDATE(J365,0)</f>
        <v/>
      </c>
      <c r="Q365" s="71">
        <f>IF(A365=0,"",VLOOKUP($A365,RESUMO!$A$8:$B$83,2,FALSE))</f>
        <v/>
      </c>
    </row>
    <row r="366">
      <c r="A366" s="39" t="n">
        <v>45693</v>
      </c>
      <c r="B366" s="53" t="n">
        <v>5</v>
      </c>
      <c r="C366" s="63" t="inlineStr">
        <is>
          <t>10559527000104</t>
        </is>
      </c>
      <c r="D366" t="inlineStr">
        <is>
          <t>LOCA MUNCK</t>
        </is>
      </c>
      <c r="E366" t="inlineStr">
        <is>
          <t>LOCAÇÃO DE CAMINHÃO MUNCK</t>
        </is>
      </c>
      <c r="F366" t="inlineStr">
        <is>
          <t>2025/17</t>
        </is>
      </c>
      <c r="G366" s="64" t="n">
        <v>3300</v>
      </c>
      <c r="H366" t="n">
        <v>1</v>
      </c>
      <c r="I366" s="64" t="n">
        <v>3300</v>
      </c>
      <c r="J366" s="39" t="n">
        <v>45684</v>
      </c>
      <c r="K366" t="inlineStr">
        <is>
          <t>SERV</t>
        </is>
      </c>
      <c r="L366" t="inlineStr">
        <is>
          <t>-</t>
        </is>
      </c>
      <c r="N366">
        <f>IF(F366="","NÃO","SIM")</f>
        <v/>
      </c>
      <c r="O366">
        <f>IF($B366=5,"SIM","")</f>
        <v/>
      </c>
      <c r="P366" s="81">
        <f>A366&amp;B366&amp;C366&amp;E366&amp;G366&amp;EDATE(J366,0)</f>
        <v/>
      </c>
      <c r="Q366" s="71">
        <f>IF(A366=0,"",VLOOKUP($A366,RESUMO!$A$8:$B$83,2,FALSE))</f>
        <v/>
      </c>
    </row>
    <row r="367">
      <c r="A367" s="39" t="n">
        <v>45693</v>
      </c>
      <c r="B367" t="n">
        <v>7</v>
      </c>
      <c r="C367" t="inlineStr">
        <is>
          <t>30104762000107</t>
        </is>
      </c>
      <c r="D367" t="inlineStr">
        <is>
          <t>VASCONCELOS &amp; RINALDI ENGENHARIA</t>
        </is>
      </c>
      <c r="E367" t="inlineStr">
        <is>
          <t>ADM. OBRA REF. 1ª QUINZ. 02/2025</t>
        </is>
      </c>
      <c r="G367" s="64" t="n">
        <v>17697.9036</v>
      </c>
      <c r="H367" t="n">
        <v>1</v>
      </c>
      <c r="I367" s="64" t="n">
        <v>17697.9036</v>
      </c>
      <c r="J367" s="39" t="n">
        <v>45693</v>
      </c>
      <c r="K367" t="inlineStr">
        <is>
          <t>ADM</t>
        </is>
      </c>
      <c r="M367" t="inlineStr">
        <is>
          <t>LANÇAMENTO AUTOMÁTICO</t>
        </is>
      </c>
      <c r="N367">
        <f>IF(F367="","NÃO","SIM")</f>
        <v/>
      </c>
      <c r="O367">
        <f>IF($B367=5,"SIM","")</f>
        <v/>
      </c>
      <c r="P367" s="81">
        <f>A367&amp;B367&amp;C367&amp;E367&amp;G367&amp;EDATE(J367,0)</f>
        <v/>
      </c>
      <c r="Q367" s="71">
        <f>IF(A367=0,"",VLOOKUP($A367,RESUMO!$A$8:$B$83,2,FALSE))</f>
        <v/>
      </c>
    </row>
    <row r="368">
      <c r="A368" s="39" t="n">
        <v>45708</v>
      </c>
      <c r="B368" s="53" t="n">
        <v>1</v>
      </c>
      <c r="C368" t="inlineStr">
        <is>
          <t>07573876670</t>
        </is>
      </c>
      <c r="D368" t="inlineStr">
        <is>
          <t>BRUNO JUNIO DA SILVA</t>
        </is>
      </c>
      <c r="E368" t="inlineStr">
        <is>
          <t>SALÁRIO</t>
        </is>
      </c>
      <c r="G368" s="64" t="n">
        <v>2719.6</v>
      </c>
      <c r="H368" t="n">
        <v>1</v>
      </c>
      <c r="I368" s="64" t="n">
        <v>2719.6</v>
      </c>
      <c r="J368" s="39" t="n">
        <v>45708</v>
      </c>
      <c r="K368" t="inlineStr">
        <is>
          <t>MO</t>
        </is>
      </c>
      <c r="L368" t="inlineStr">
        <is>
          <t>PIX: 07573876670</t>
        </is>
      </c>
      <c r="N368">
        <f>IF(F368="","NÃO","SIM")</f>
        <v/>
      </c>
      <c r="O368">
        <f>IF($B368=5,"SIM","")</f>
        <v/>
      </c>
      <c r="P368" s="81">
        <f>A368&amp;B368&amp;C368&amp;E368&amp;G368&amp;EDATE(J368,0)</f>
        <v/>
      </c>
      <c r="Q368" s="71">
        <f>IF(A368=0,"",VLOOKUP($A368,RESUMO!$A$8:$B$83,2,FALSE))</f>
        <v/>
      </c>
    </row>
    <row r="369">
      <c r="A369" s="39" t="n">
        <v>45708</v>
      </c>
      <c r="B369" s="53" t="n">
        <v>1</v>
      </c>
      <c r="C369" t="inlineStr">
        <is>
          <t>07573876670</t>
        </is>
      </c>
      <c r="D369" t="inlineStr">
        <is>
          <t>BRUNO JUNIO DA SILVA</t>
        </is>
      </c>
      <c r="E369" t="inlineStr">
        <is>
          <t>CAFÉ</t>
        </is>
      </c>
      <c r="G369" s="64" t="n">
        <v>2</v>
      </c>
      <c r="H369" t="n">
        <v>40</v>
      </c>
      <c r="I369" s="64" t="n">
        <v>80</v>
      </c>
      <c r="J369" s="39" t="n">
        <v>45708</v>
      </c>
      <c r="K369" t="inlineStr">
        <is>
          <t>MO</t>
        </is>
      </c>
      <c r="L369" t="inlineStr">
        <is>
          <t>PIX: 07573876670</t>
        </is>
      </c>
      <c r="N369">
        <f>IF(F369="","NÃO","SIM")</f>
        <v/>
      </c>
      <c r="O369">
        <f>IF($B369=5,"SIM","")</f>
        <v/>
      </c>
      <c r="P369" s="81">
        <f>A369&amp;B369&amp;C369&amp;E369&amp;G369&amp;EDATE(J369,0)</f>
        <v/>
      </c>
      <c r="Q369" s="71">
        <f>IF(A369=0,"",VLOOKUP($A369,RESUMO!$A$8:$B$83,2,FALSE))</f>
        <v/>
      </c>
    </row>
    <row r="370">
      <c r="A370" s="39" t="n">
        <v>45708</v>
      </c>
      <c r="B370" s="53" t="n">
        <v>1</v>
      </c>
      <c r="C370" t="inlineStr">
        <is>
          <t>00354432605</t>
        </is>
      </c>
      <c r="D370" t="inlineStr">
        <is>
          <t>ANTONIO DUTRA DE FREITAS</t>
        </is>
      </c>
      <c r="E370" t="inlineStr">
        <is>
          <t>SALÁRIO</t>
        </is>
      </c>
      <c r="G370" s="64" t="n">
        <v>1156</v>
      </c>
      <c r="H370" t="n">
        <v>1</v>
      </c>
      <c r="I370" s="64" t="n">
        <v>1156</v>
      </c>
      <c r="J370" s="39" t="n">
        <v>45708</v>
      </c>
      <c r="K370" t="inlineStr">
        <is>
          <t>MO</t>
        </is>
      </c>
      <c r="L370" t="inlineStr">
        <is>
          <t>PIX: 31982618378</t>
        </is>
      </c>
      <c r="N370">
        <f>IF(F370="","NÃO","SIM")</f>
        <v/>
      </c>
      <c r="O370">
        <f>IF($B370=5,"SIM","")</f>
        <v/>
      </c>
      <c r="P370" s="81">
        <f>A370&amp;B370&amp;C370&amp;E370&amp;G370&amp;EDATE(J370,0)</f>
        <v/>
      </c>
      <c r="Q370" s="71">
        <f>IF(A370=0,"",VLOOKUP($A370,RESUMO!$A$8:$B$83,2,FALSE))</f>
        <v/>
      </c>
    </row>
    <row r="371">
      <c r="A371" s="39" t="n">
        <v>45708</v>
      </c>
      <c r="B371" s="53" t="n">
        <v>1</v>
      </c>
      <c r="C371" t="inlineStr">
        <is>
          <t>00354432605</t>
        </is>
      </c>
      <c r="D371" t="inlineStr">
        <is>
          <t>ANTONIO DUTRA DE FREITAS</t>
        </is>
      </c>
      <c r="E371" t="inlineStr">
        <is>
          <t>CAFÉ</t>
        </is>
      </c>
      <c r="G371" s="64" t="n">
        <v>2</v>
      </c>
      <c r="H371" t="n">
        <v>40</v>
      </c>
      <c r="I371" s="64" t="n">
        <v>80</v>
      </c>
      <c r="J371" s="39" t="n">
        <v>45708</v>
      </c>
      <c r="K371" t="inlineStr">
        <is>
          <t>MO</t>
        </is>
      </c>
      <c r="L371" t="inlineStr">
        <is>
          <t>PIX: 31982618378</t>
        </is>
      </c>
      <c r="N371">
        <f>IF(F371="","NÃO","SIM")</f>
        <v/>
      </c>
      <c r="O371">
        <f>IF($B371=5,"SIM","")</f>
        <v/>
      </c>
      <c r="P371" s="81">
        <f>A371&amp;B371&amp;C371&amp;E371&amp;G371&amp;EDATE(J371,0)</f>
        <v/>
      </c>
      <c r="Q371" s="71">
        <f>IF(A371=0,"",VLOOKUP($A371,RESUMO!$A$8:$B$83,2,FALSE))</f>
        <v/>
      </c>
    </row>
    <row r="372">
      <c r="A372" s="39" t="n">
        <v>45708</v>
      </c>
      <c r="B372" s="53" t="n">
        <v>1</v>
      </c>
      <c r="C372" t="inlineStr">
        <is>
          <t>07249031600</t>
        </is>
      </c>
      <c r="D372" t="inlineStr">
        <is>
          <t>EDER PEREIRA DA SILVA</t>
        </is>
      </c>
      <c r="E372" t="inlineStr">
        <is>
          <t>SALÁRIO</t>
        </is>
      </c>
      <c r="G372" s="64" t="n">
        <v>1156</v>
      </c>
      <c r="H372" t="n">
        <v>1</v>
      </c>
      <c r="I372" s="64" t="n">
        <v>1156</v>
      </c>
      <c r="J372" s="39" t="n">
        <v>45708</v>
      </c>
      <c r="K372" t="inlineStr">
        <is>
          <t>MO</t>
        </is>
      </c>
      <c r="L372" t="inlineStr">
        <is>
          <t>PIX: 07249031600</t>
        </is>
      </c>
      <c r="N372">
        <f>IF(F372="","NÃO","SIM")</f>
        <v/>
      </c>
      <c r="O372">
        <f>IF($B372=5,"SIM","")</f>
        <v/>
      </c>
      <c r="P372" s="81">
        <f>A372&amp;B372&amp;C372&amp;E372&amp;G372&amp;EDATE(J372,0)</f>
        <v/>
      </c>
      <c r="Q372" s="71">
        <f>IF(A372=0,"",VLOOKUP($A372,RESUMO!$A$8:$B$83,2,FALSE))</f>
        <v/>
      </c>
    </row>
    <row r="373">
      <c r="A373" s="39" t="n">
        <v>45708</v>
      </c>
      <c r="B373" s="53" t="n">
        <v>1</v>
      </c>
      <c r="C373" t="inlineStr">
        <is>
          <t>07249031600</t>
        </is>
      </c>
      <c r="D373" t="inlineStr">
        <is>
          <t>EDER PEREIRA DA SILVA</t>
        </is>
      </c>
      <c r="E373" t="inlineStr">
        <is>
          <t>CAFÉ</t>
        </is>
      </c>
      <c r="G373" s="64" t="n">
        <v>2</v>
      </c>
      <c r="H373" t="n">
        <v>40</v>
      </c>
      <c r="I373" s="64" t="n">
        <v>80</v>
      </c>
      <c r="J373" s="39" t="n">
        <v>45708</v>
      </c>
      <c r="K373" t="inlineStr">
        <is>
          <t>MO</t>
        </is>
      </c>
      <c r="L373" t="inlineStr">
        <is>
          <t>PIX: 07249031600</t>
        </is>
      </c>
      <c r="N373">
        <f>IF(F373="","NÃO","SIM")</f>
        <v/>
      </c>
      <c r="O373">
        <f>IF($B373=5,"SIM","")</f>
        <v/>
      </c>
      <c r="P373" s="81">
        <f>A373&amp;B373&amp;C373&amp;E373&amp;G373&amp;EDATE(J373,0)</f>
        <v/>
      </c>
      <c r="Q373" s="71">
        <f>IF(A373=0,"",VLOOKUP($A373,RESUMO!$A$8:$B$83,2,FALSE))</f>
        <v/>
      </c>
    </row>
    <row r="374">
      <c r="A374" s="39" t="n">
        <v>45708</v>
      </c>
      <c r="B374" s="53" t="n">
        <v>1</v>
      </c>
      <c r="C374" t="inlineStr">
        <is>
          <t>14758063613</t>
        </is>
      </c>
      <c r="D374" t="inlineStr">
        <is>
          <t>IZAEL BISPO OLIVEIRA</t>
        </is>
      </c>
      <c r="E374" t="inlineStr">
        <is>
          <t>SALÁRIO</t>
        </is>
      </c>
      <c r="G374" s="64" t="n">
        <v>1156</v>
      </c>
      <c r="H374" t="n">
        <v>1</v>
      </c>
      <c r="I374" s="64" t="n">
        <v>1156</v>
      </c>
      <c r="J374" s="39" t="n">
        <v>45708</v>
      </c>
      <c r="K374" t="inlineStr">
        <is>
          <t>MO</t>
        </is>
      </c>
      <c r="L374" t="inlineStr">
        <is>
          <t>PIX: 14758063613</t>
        </is>
      </c>
      <c r="N374">
        <f>IF(F374="","NÃO","SIM")</f>
        <v/>
      </c>
      <c r="O374">
        <f>IF($B374=5,"SIM","")</f>
        <v/>
      </c>
      <c r="P374" s="81">
        <f>A374&amp;B374&amp;C374&amp;E374&amp;G374&amp;EDATE(J374,0)</f>
        <v/>
      </c>
      <c r="Q374" s="71">
        <f>IF(A374=0,"",VLOOKUP($A374,RESUMO!$A$8:$B$83,2,FALSE))</f>
        <v/>
      </c>
    </row>
    <row r="375">
      <c r="A375" s="39" t="n">
        <v>45708</v>
      </c>
      <c r="B375" s="53" t="n">
        <v>1</v>
      </c>
      <c r="C375" t="inlineStr">
        <is>
          <t>14758063613</t>
        </is>
      </c>
      <c r="D375" t="inlineStr">
        <is>
          <t>IZAEL BISPO OLIVEIRA</t>
        </is>
      </c>
      <c r="E375" t="inlineStr">
        <is>
          <t>CAFÉ</t>
        </is>
      </c>
      <c r="G375" s="64" t="n">
        <v>2</v>
      </c>
      <c r="H375" t="n">
        <v>37</v>
      </c>
      <c r="I375" s="64" t="n">
        <v>74</v>
      </c>
      <c r="J375" s="39" t="n">
        <v>45708</v>
      </c>
      <c r="K375" t="inlineStr">
        <is>
          <t>MO</t>
        </is>
      </c>
      <c r="L375" t="inlineStr">
        <is>
          <t>PIX: 14758063613</t>
        </is>
      </c>
      <c r="N375">
        <f>IF(F375="","NÃO","SIM")</f>
        <v/>
      </c>
      <c r="O375">
        <f>IF($B375=5,"SIM","")</f>
        <v/>
      </c>
      <c r="P375" s="81">
        <f>A375&amp;B375&amp;C375&amp;E375&amp;G375&amp;EDATE(J375,0)</f>
        <v/>
      </c>
      <c r="Q375" s="71">
        <f>IF(A375=0,"",VLOOKUP($A375,RESUMO!$A$8:$B$83,2,FALSE))</f>
        <v/>
      </c>
    </row>
    <row r="376">
      <c r="A376" s="39" t="n">
        <v>45708</v>
      </c>
      <c r="B376" s="53" t="n">
        <v>1</v>
      </c>
      <c r="C376" t="inlineStr">
        <is>
          <t>85086894387</t>
        </is>
      </c>
      <c r="D376" t="inlineStr">
        <is>
          <t>ROBERVAL PORTACIO DOS SANTOS</t>
        </is>
      </c>
      <c r="E376" t="inlineStr">
        <is>
          <t>SALÁRIO</t>
        </is>
      </c>
      <c r="G376" s="64" t="n">
        <v>672.4</v>
      </c>
      <c r="H376" t="n">
        <v>1</v>
      </c>
      <c r="I376" s="64" t="n">
        <v>672.4</v>
      </c>
      <c r="J376" s="39" t="n">
        <v>45708</v>
      </c>
      <c r="K376" t="inlineStr">
        <is>
          <t>MO</t>
        </is>
      </c>
      <c r="L376" t="inlineStr">
        <is>
          <t>PIX: 31971706400</t>
        </is>
      </c>
      <c r="N376">
        <f>IF(F376="","NÃO","SIM")</f>
        <v/>
      </c>
      <c r="O376">
        <f>IF($B376=5,"SIM","")</f>
        <v/>
      </c>
      <c r="P376" s="81">
        <f>A376&amp;B376&amp;C376&amp;E376&amp;G376&amp;EDATE(J376,0)</f>
        <v/>
      </c>
      <c r="Q376" s="71">
        <f>IF(A376=0,"",VLOOKUP($A376,RESUMO!$A$8:$B$83,2,FALSE))</f>
        <v/>
      </c>
    </row>
    <row r="377">
      <c r="A377" s="39" t="n">
        <v>45708</v>
      </c>
      <c r="B377" s="53" t="n">
        <v>1</v>
      </c>
      <c r="C377" t="inlineStr">
        <is>
          <t>85086894387</t>
        </is>
      </c>
      <c r="D377" t="inlineStr">
        <is>
          <t>ROBERVAL PORTACIO DOS SANTOS</t>
        </is>
      </c>
      <c r="E377" t="inlineStr">
        <is>
          <t>CAFÉ</t>
        </is>
      </c>
      <c r="G377" s="64" t="n">
        <v>2</v>
      </c>
      <c r="H377" t="n">
        <v>39</v>
      </c>
      <c r="I377" s="64" t="n">
        <v>78</v>
      </c>
      <c r="J377" s="39" t="n">
        <v>45708</v>
      </c>
      <c r="K377" t="inlineStr">
        <is>
          <t>MO</t>
        </is>
      </c>
      <c r="L377" t="inlineStr">
        <is>
          <t>PIX: 31971706400</t>
        </is>
      </c>
      <c r="N377">
        <f>IF(F377="","NÃO","SIM")</f>
        <v/>
      </c>
      <c r="O377">
        <f>IF($B377=5,"SIM","")</f>
        <v/>
      </c>
      <c r="P377" s="81">
        <f>A377&amp;B377&amp;C377&amp;E377&amp;G377&amp;EDATE(J377,0)</f>
        <v/>
      </c>
      <c r="Q377" s="71">
        <f>IF(A377=0,"",VLOOKUP($A377,RESUMO!$A$8:$B$83,2,FALSE))</f>
        <v/>
      </c>
    </row>
    <row r="378">
      <c r="A378" s="39" t="n">
        <v>45708</v>
      </c>
      <c r="B378" s="53" t="n">
        <v>1</v>
      </c>
      <c r="C378" t="inlineStr">
        <is>
          <t>87942119653</t>
        </is>
      </c>
      <c r="D378" t="inlineStr">
        <is>
          <t>DOMINGOS DA SILVA LIMA</t>
        </is>
      </c>
      <c r="E378" t="inlineStr">
        <is>
          <t>SALÁRIO</t>
        </is>
      </c>
      <c r="G378" s="64" t="n">
        <v>672.4</v>
      </c>
      <c r="H378" t="n">
        <v>1</v>
      </c>
      <c r="I378" s="64" t="n">
        <v>672.4</v>
      </c>
      <c r="J378" s="39" t="n">
        <v>45708</v>
      </c>
      <c r="K378" t="inlineStr">
        <is>
          <t>MO</t>
        </is>
      </c>
      <c r="L378" t="inlineStr">
        <is>
          <t>CEF 13 - 892 00113057-1</t>
        </is>
      </c>
      <c r="N378">
        <f>IF(F378="","NÃO","SIM")</f>
        <v/>
      </c>
      <c r="O378">
        <f>IF($B378=5,"SIM","")</f>
        <v/>
      </c>
      <c r="P378" s="81">
        <f>A378&amp;B378&amp;C378&amp;E378&amp;G378&amp;EDATE(J378,0)</f>
        <v/>
      </c>
      <c r="Q378" s="71">
        <f>IF(A378=0,"",VLOOKUP($A378,RESUMO!$A$8:$B$83,2,FALSE))</f>
        <v/>
      </c>
    </row>
    <row r="379">
      <c r="A379" s="39" t="n">
        <v>45708</v>
      </c>
      <c r="B379" s="53" t="n">
        <v>1</v>
      </c>
      <c r="C379" t="inlineStr">
        <is>
          <t>87942119653</t>
        </is>
      </c>
      <c r="D379" t="inlineStr">
        <is>
          <t>DOMINGOS DA SILVA LIMA</t>
        </is>
      </c>
      <c r="E379" t="inlineStr">
        <is>
          <t>CAFÉ</t>
        </is>
      </c>
      <c r="G379" s="64" t="n">
        <v>2</v>
      </c>
      <c r="H379" t="n">
        <v>39</v>
      </c>
      <c r="I379" s="64" t="n">
        <v>78</v>
      </c>
      <c r="J379" s="39" t="n">
        <v>45708</v>
      </c>
      <c r="K379" t="inlineStr">
        <is>
          <t>MO</t>
        </is>
      </c>
      <c r="L379" t="inlineStr">
        <is>
          <t>CEF 13 - 892 00113057-1</t>
        </is>
      </c>
      <c r="N379">
        <f>IF(F379="","NÃO","SIM")</f>
        <v/>
      </c>
      <c r="O379">
        <f>IF($B379=5,"SIM","")</f>
        <v/>
      </c>
      <c r="P379" s="81">
        <f>A379&amp;B379&amp;C379&amp;E379&amp;G379&amp;EDATE(J379,0)</f>
        <v/>
      </c>
      <c r="Q379" s="71">
        <f>IF(A379=0,"",VLOOKUP($A379,RESUMO!$A$8:$B$83,2,FALSE))</f>
        <v/>
      </c>
    </row>
    <row r="380">
      <c r="A380" s="39" t="n">
        <v>45708</v>
      </c>
      <c r="B380" s="53" t="n">
        <v>1</v>
      </c>
      <c r="C380" t="inlineStr">
        <is>
          <t>75746980315</t>
        </is>
      </c>
      <c r="D380" t="inlineStr">
        <is>
          <t>FRANCISCO REGO DA SILVA</t>
        </is>
      </c>
      <c r="E380" t="inlineStr">
        <is>
          <t>SALÁRIO</t>
        </is>
      </c>
      <c r="G380" s="64" t="n">
        <v>979.6</v>
      </c>
      <c r="H380" t="n">
        <v>1</v>
      </c>
      <c r="I380" s="64" t="n">
        <v>979.6</v>
      </c>
      <c r="J380" s="39" t="n">
        <v>45708</v>
      </c>
      <c r="K380" t="inlineStr">
        <is>
          <t>MO</t>
        </is>
      </c>
      <c r="L380" t="inlineStr">
        <is>
          <t>PIX: 75746980315</t>
        </is>
      </c>
      <c r="N380">
        <f>IF(F380="","NÃO","SIM")</f>
        <v/>
      </c>
      <c r="O380">
        <f>IF($B380=5,"SIM","")</f>
        <v/>
      </c>
      <c r="P380" s="81">
        <f>A380&amp;B380&amp;C380&amp;E380&amp;G380&amp;EDATE(J380,0)</f>
        <v/>
      </c>
      <c r="Q380" s="71">
        <f>IF(A380=0,"",VLOOKUP($A380,RESUMO!$A$8:$B$83,2,FALSE))</f>
        <v/>
      </c>
    </row>
    <row r="381">
      <c r="A381" s="39" t="n">
        <v>45708</v>
      </c>
      <c r="B381" s="53" t="n">
        <v>1</v>
      </c>
      <c r="C381" t="inlineStr">
        <is>
          <t>75746980315</t>
        </is>
      </c>
      <c r="D381" t="inlineStr">
        <is>
          <t>FRANCISCO REGO DA SILVA</t>
        </is>
      </c>
      <c r="E381" t="inlineStr">
        <is>
          <t>CAFÉ</t>
        </is>
      </c>
      <c r="G381" s="64" t="n">
        <v>2</v>
      </c>
      <c r="H381" t="n">
        <v>40</v>
      </c>
      <c r="I381" s="64" t="n">
        <v>80</v>
      </c>
      <c r="J381" s="39" t="n">
        <v>45708</v>
      </c>
      <c r="K381" t="inlineStr">
        <is>
          <t>MO</t>
        </is>
      </c>
      <c r="L381" t="inlineStr">
        <is>
          <t>PIX: 75746980315</t>
        </is>
      </c>
      <c r="N381">
        <f>IF(F381="","NÃO","SIM")</f>
        <v/>
      </c>
      <c r="O381">
        <f>IF($B381=5,"SIM","")</f>
        <v/>
      </c>
      <c r="P381" s="81">
        <f>A381&amp;B381&amp;C381&amp;E381&amp;G381&amp;EDATE(J381,0)</f>
        <v/>
      </c>
      <c r="Q381" s="71">
        <f>IF(A381=0,"",VLOOKUP($A381,RESUMO!$A$8:$B$83,2,FALSE))</f>
        <v/>
      </c>
    </row>
    <row r="382">
      <c r="A382" s="39" t="n">
        <v>45708</v>
      </c>
      <c r="B382" s="53" t="n">
        <v>1</v>
      </c>
      <c r="C382" t="inlineStr">
        <is>
          <t>01980098603</t>
        </is>
      </c>
      <c r="D382" t="inlineStr">
        <is>
          <t>LUCAS CATALUNHA DA SILVA</t>
        </is>
      </c>
      <c r="E382" t="inlineStr">
        <is>
          <t>SALÁRIO</t>
        </is>
      </c>
      <c r="G382" s="64" t="n">
        <v>672.4</v>
      </c>
      <c r="H382" t="n">
        <v>1</v>
      </c>
      <c r="I382" s="64" t="n">
        <v>672.4</v>
      </c>
      <c r="J382" s="39" t="n">
        <v>45708</v>
      </c>
      <c r="K382" t="inlineStr">
        <is>
          <t>MO</t>
        </is>
      </c>
      <c r="L382" t="inlineStr">
        <is>
          <t>PIX: 01980098603</t>
        </is>
      </c>
      <c r="N382">
        <f>IF(F382="","NÃO","SIM")</f>
        <v/>
      </c>
      <c r="O382">
        <f>IF($B382=5,"SIM","")</f>
        <v/>
      </c>
      <c r="P382" s="81">
        <f>A382&amp;B382&amp;C382&amp;E382&amp;G382&amp;EDATE(J382,0)</f>
        <v/>
      </c>
      <c r="Q382" s="71">
        <f>IF(A382=0,"",VLOOKUP($A382,RESUMO!$A$8:$B$83,2,FALSE))</f>
        <v/>
      </c>
    </row>
    <row r="383">
      <c r="A383" s="39" t="n">
        <v>45708</v>
      </c>
      <c r="B383" s="53" t="n">
        <v>1</v>
      </c>
      <c r="C383" t="inlineStr">
        <is>
          <t>01980098603</t>
        </is>
      </c>
      <c r="D383" t="inlineStr">
        <is>
          <t>LUCAS CATALUNHA DA SILVA</t>
        </is>
      </c>
      <c r="E383" t="inlineStr">
        <is>
          <t>CAFÉ</t>
        </is>
      </c>
      <c r="G383" s="64" t="n">
        <v>2</v>
      </c>
      <c r="H383" t="n">
        <v>38</v>
      </c>
      <c r="I383" s="64" t="n">
        <v>76</v>
      </c>
      <c r="J383" s="39" t="n">
        <v>45708</v>
      </c>
      <c r="K383" t="inlineStr">
        <is>
          <t>MO</t>
        </is>
      </c>
      <c r="L383" t="inlineStr">
        <is>
          <t>PIX: 01980098603</t>
        </is>
      </c>
      <c r="N383">
        <f>IF(F383="","NÃO","SIM")</f>
        <v/>
      </c>
      <c r="O383">
        <f>IF($B383=5,"SIM","")</f>
        <v/>
      </c>
      <c r="P383" s="81">
        <f>A383&amp;B383&amp;C383&amp;E383&amp;G383&amp;EDATE(J383,0)</f>
        <v/>
      </c>
      <c r="Q383" s="71">
        <f>IF(A383=0,"",VLOOKUP($A383,RESUMO!$A$8:$B$83,2,FALSE))</f>
        <v/>
      </c>
    </row>
    <row r="384">
      <c r="A384" s="39" t="n">
        <v>45708</v>
      </c>
      <c r="B384" s="53" t="n">
        <v>1</v>
      </c>
      <c r="C384" t="inlineStr">
        <is>
          <t>00000012793</t>
        </is>
      </c>
      <c r="D384" t="inlineStr">
        <is>
          <t>BRUNO RODRIGUES DOS SANTOS</t>
        </is>
      </c>
      <c r="E384" t="inlineStr">
        <is>
          <t>SALÁRIO</t>
        </is>
      </c>
      <c r="G384" s="64" t="n">
        <v>854.8</v>
      </c>
      <c r="H384" t="n">
        <v>1</v>
      </c>
      <c r="I384" s="64" t="n">
        <v>854.8</v>
      </c>
      <c r="J384" s="39" t="n">
        <v>45708</v>
      </c>
      <c r="K384" t="inlineStr">
        <is>
          <t>MO</t>
        </is>
      </c>
      <c r="L384" t="inlineStr">
        <is>
          <t>PIX: 31999187222</t>
        </is>
      </c>
      <c r="N384">
        <f>IF(F384="","NÃO","SIM")</f>
        <v/>
      </c>
      <c r="O384">
        <f>IF($B384=5,"SIM","")</f>
        <v/>
      </c>
      <c r="P384" s="81">
        <f>A384&amp;B384&amp;C384&amp;E384&amp;G384&amp;EDATE(J384,0)</f>
        <v/>
      </c>
      <c r="Q384" s="71">
        <f>IF(A384=0,"",VLOOKUP($A384,RESUMO!$A$8:$B$83,2,FALSE))</f>
        <v/>
      </c>
    </row>
    <row r="385">
      <c r="A385" s="39" t="n">
        <v>45708</v>
      </c>
      <c r="B385" s="53" t="n">
        <v>1</v>
      </c>
      <c r="C385" t="inlineStr">
        <is>
          <t>00000012793</t>
        </is>
      </c>
      <c r="D385" t="inlineStr">
        <is>
          <t>BRUNO RODRIGUES DOS SANTOS</t>
        </is>
      </c>
      <c r="E385" t="inlineStr">
        <is>
          <t>CAFÉ</t>
        </is>
      </c>
      <c r="G385" s="64" t="n">
        <v>2</v>
      </c>
      <c r="H385" t="n">
        <v>20</v>
      </c>
      <c r="I385" s="64" t="n">
        <v>40</v>
      </c>
      <c r="J385" s="39" t="n">
        <v>45708</v>
      </c>
      <c r="K385" t="inlineStr">
        <is>
          <t>MO</t>
        </is>
      </c>
      <c r="L385" t="inlineStr">
        <is>
          <t>PIX: 31999187222</t>
        </is>
      </c>
      <c r="N385">
        <f>IF(F385="","NÃO","SIM")</f>
        <v/>
      </c>
      <c r="O385">
        <f>IF($B385=5,"SIM","")</f>
        <v/>
      </c>
      <c r="P385" s="81">
        <f>A385&amp;B385&amp;C385&amp;E385&amp;G385&amp;EDATE(J385,0)</f>
        <v/>
      </c>
      <c r="Q385" s="71">
        <f>IF(A385=0,"",VLOOKUP($A385,RESUMO!$A$8:$B$83,2,FALSE))</f>
        <v/>
      </c>
    </row>
    <row r="386">
      <c r="A386" s="39" t="n">
        <v>45708</v>
      </c>
      <c r="B386" s="53" t="n">
        <v>1</v>
      </c>
      <c r="C386" t="inlineStr">
        <is>
          <t>36404993600</t>
        </is>
      </c>
      <c r="D386" t="inlineStr">
        <is>
          <t xml:space="preserve">NIVALDO DA SILVA </t>
        </is>
      </c>
      <c r="E386" t="inlineStr">
        <is>
          <t>DIÁRIA</t>
        </is>
      </c>
      <c r="G386" s="64" t="n">
        <v>270</v>
      </c>
      <c r="H386" t="n">
        <v>10</v>
      </c>
      <c r="I386" s="64" t="n">
        <v>2700</v>
      </c>
      <c r="J386" s="39" t="n">
        <v>45708</v>
      </c>
      <c r="K386" t="inlineStr">
        <is>
          <t>MO</t>
        </is>
      </c>
      <c r="L386" t="inlineStr">
        <is>
          <t>PIX: 36404993600</t>
        </is>
      </c>
      <c r="N386">
        <f>IF(F386="","NÃO","SIM")</f>
        <v/>
      </c>
      <c r="O386">
        <f>IF($B386=5,"SIM","")</f>
        <v/>
      </c>
      <c r="P386" s="81">
        <f>A386&amp;B386&amp;C386&amp;E386&amp;G386&amp;EDATE(J386,0)</f>
        <v/>
      </c>
      <c r="Q386" s="71">
        <f>IF(A386=0,"",VLOOKUP($A386,RESUMO!$A$8:$B$83,2,FALSE))</f>
        <v/>
      </c>
    </row>
    <row r="387">
      <c r="A387" s="39" t="n">
        <v>45708</v>
      </c>
      <c r="B387" s="53" t="n">
        <v>1</v>
      </c>
      <c r="C387" t="inlineStr">
        <is>
          <t>02038736375</t>
        </is>
      </c>
      <c r="D387" t="inlineStr">
        <is>
          <t>MARCELO FERNANDES DE ALMEIDA</t>
        </is>
      </c>
      <c r="E387" t="inlineStr">
        <is>
          <t>DIÁRIA</t>
        </is>
      </c>
      <c r="G387" s="64" t="n">
        <v>250</v>
      </c>
      <c r="H387" t="n">
        <v>10</v>
      </c>
      <c r="I387" s="64" t="n">
        <v>2500</v>
      </c>
      <c r="J387" s="39" t="n">
        <v>45708</v>
      </c>
      <c r="K387" t="inlineStr">
        <is>
          <t>MO</t>
        </is>
      </c>
      <c r="L387" t="inlineStr">
        <is>
          <t>PIX: 31 994629438</t>
        </is>
      </c>
      <c r="N387">
        <f>IF(F387="","NÃO","SIM")</f>
        <v/>
      </c>
      <c r="O387">
        <f>IF($B387=5,"SIM","")</f>
        <v/>
      </c>
      <c r="P387" s="81">
        <f>A387&amp;B387&amp;C387&amp;E387&amp;G387&amp;EDATE(J387,0)</f>
        <v/>
      </c>
      <c r="Q387" s="71">
        <f>IF(A387=0,"",VLOOKUP($A387,RESUMO!$A$8:$B$83,2,FALSE))</f>
        <v/>
      </c>
    </row>
    <row r="388">
      <c r="A388" s="39" t="n">
        <v>45708</v>
      </c>
      <c r="B388" s="53" t="n">
        <v>2</v>
      </c>
      <c r="C388" t="inlineStr">
        <is>
          <t>78068991620</t>
        </is>
      </c>
      <c r="D388" t="inlineStr">
        <is>
          <t xml:space="preserve">GERALDO LUCIANO FERREIRA </t>
        </is>
      </c>
      <c r="E388" t="inlineStr">
        <is>
          <t xml:space="preserve">ESCAVAÇÃO DE TUBULÃO / RETANGULÃO
</t>
        </is>
      </c>
      <c r="G388" s="64" t="n">
        <v>1013.35</v>
      </c>
      <c r="H388" t="n">
        <v>1</v>
      </c>
      <c r="I388" s="64" t="n">
        <v>1013.35</v>
      </c>
      <c r="J388" s="39" t="n">
        <v>45708</v>
      </c>
      <c r="K388" t="inlineStr">
        <is>
          <t>SERV</t>
        </is>
      </c>
      <c r="L388" t="inlineStr">
        <is>
          <t>ITAÚ - 8562 - 37658 - 78068991620</t>
        </is>
      </c>
      <c r="N388">
        <f>IF(F388="","NÃO","SIM")</f>
        <v/>
      </c>
      <c r="O388">
        <f>IF($B388=5,"SIM","")</f>
        <v/>
      </c>
      <c r="P388" s="81">
        <f>A388&amp;B388&amp;C388&amp;E388&amp;G388&amp;EDATE(J388,0)</f>
        <v/>
      </c>
      <c r="Q388" s="71">
        <f>IF(A388=0,"",VLOOKUP($A388,RESUMO!$A$8:$B$83,2,FALSE))</f>
        <v/>
      </c>
    </row>
    <row r="389">
      <c r="A389" s="39" t="n">
        <v>45708</v>
      </c>
      <c r="B389" s="53" t="n">
        <v>3</v>
      </c>
      <c r="C389" t="inlineStr">
        <is>
          <t>00000011045</t>
        </is>
      </c>
      <c r="D389" t="inlineStr">
        <is>
          <t>MHS EVENTO SST ESOCIAL</t>
        </is>
      </c>
      <c r="E389" t="inlineStr">
        <is>
          <t xml:space="preserve">COMPETENCIA 01/2025 - NF A EMITIR
</t>
        </is>
      </c>
      <c r="G389" s="64" t="n">
        <v>110.52</v>
      </c>
      <c r="H389" t="n">
        <v>1</v>
      </c>
      <c r="I389" s="64" t="n">
        <v>110.52</v>
      </c>
      <c r="J389" s="39" t="n">
        <v>45708</v>
      </c>
      <c r="K389" t="inlineStr">
        <is>
          <t>MO</t>
        </is>
      </c>
      <c r="L389" t="inlineStr">
        <is>
          <t>PIX: 31995901635</t>
        </is>
      </c>
      <c r="N389">
        <f>IF(F389="","NÃO","SIM")</f>
        <v/>
      </c>
      <c r="O389">
        <f>IF($B389=5,"SIM","")</f>
        <v/>
      </c>
      <c r="P389" s="81">
        <f>A389&amp;B389&amp;C389&amp;E389&amp;G389&amp;EDATE(J389,0)</f>
        <v/>
      </c>
      <c r="Q389" s="71">
        <f>IF(A389=0,"",VLOOKUP($A389,RESUMO!$A$8:$B$83,2,FALSE))</f>
        <v/>
      </c>
    </row>
    <row r="390">
      <c r="A390" s="39" t="n">
        <v>45708</v>
      </c>
      <c r="B390" s="53" t="n">
        <v>3</v>
      </c>
      <c r="C390" t="inlineStr">
        <is>
          <t>00360305000104</t>
        </is>
      </c>
      <c r="D390" t="inlineStr">
        <is>
          <t>FGTS</t>
        </is>
      </c>
      <c r="E390" t="inlineStr">
        <is>
          <t xml:space="preserve">REF. 01/2025
</t>
        </is>
      </c>
      <c r="G390" s="64" t="n">
        <v>1827.9</v>
      </c>
      <c r="H390" t="n">
        <v>1</v>
      </c>
      <c r="I390" s="64" t="n">
        <v>1827.9</v>
      </c>
      <c r="J390" s="39" t="n">
        <v>45708</v>
      </c>
      <c r="K390" t="inlineStr">
        <is>
          <t>MO</t>
        </is>
      </c>
      <c r="L390" t="inlineStr">
        <is>
          <t>-</t>
        </is>
      </c>
      <c r="N390">
        <f>IF(F390="","NÃO","SIM")</f>
        <v/>
      </c>
      <c r="O390">
        <f>IF($B390=5,"SIM","")</f>
        <v/>
      </c>
      <c r="P390" s="81">
        <f>A390&amp;B390&amp;C390&amp;E390&amp;G390&amp;EDATE(J390,0)</f>
        <v/>
      </c>
      <c r="Q390" s="71">
        <f>IF(A390=0,"",VLOOKUP($A390,RESUMO!$A$8:$B$83,2,FALSE))</f>
        <v/>
      </c>
    </row>
    <row r="391">
      <c r="A391" s="39" t="n">
        <v>45708</v>
      </c>
      <c r="B391" s="53" t="n">
        <v>3</v>
      </c>
      <c r="C391" t="inlineStr">
        <is>
          <t>00394460000141</t>
        </is>
      </c>
      <c r="D391" t="inlineStr">
        <is>
          <t>INSS/IRRF</t>
        </is>
      </c>
      <c r="E391" t="inlineStr">
        <is>
          <t xml:space="preserve">REF. 01/2025
</t>
        </is>
      </c>
      <c r="G391" s="64" t="n">
        <v>9399.92</v>
      </c>
      <c r="H391" t="n">
        <v>1</v>
      </c>
      <c r="I391" s="64" t="n">
        <v>9399.92</v>
      </c>
      <c r="J391" s="39" t="n">
        <v>45708</v>
      </c>
      <c r="K391" t="inlineStr">
        <is>
          <t>MO</t>
        </is>
      </c>
      <c r="L391" t="inlineStr">
        <is>
          <t>-</t>
        </is>
      </c>
      <c r="N391">
        <f>IF(F391="","NÃO","SIM")</f>
        <v/>
      </c>
      <c r="O391">
        <f>IF($B391=5,"SIM","")</f>
        <v/>
      </c>
      <c r="P391" s="81">
        <f>A391&amp;B391&amp;C391&amp;E391&amp;G391&amp;EDATE(J391,0)</f>
        <v/>
      </c>
      <c r="Q391" s="71">
        <f>IF(A391=0,"",VLOOKUP($A391,RESUMO!$A$8:$B$83,2,FALSE))</f>
        <v/>
      </c>
    </row>
    <row r="392">
      <c r="A392" s="39" t="n">
        <v>45708</v>
      </c>
      <c r="B392" s="53" t="n">
        <v>3</v>
      </c>
      <c r="C392" t="inlineStr">
        <is>
          <t>21944558000103</t>
        </is>
      </c>
      <c r="D392" t="inlineStr">
        <is>
          <t>LOCAN ANDAIMES</t>
        </is>
      </c>
      <c r="E392" t="inlineStr">
        <is>
          <t xml:space="preserve">LOCAÇÃO DE ANDAIMES - ND 10424
</t>
        </is>
      </c>
      <c r="G392" s="64" t="n">
        <v>228</v>
      </c>
      <c r="H392" t="n">
        <v>1</v>
      </c>
      <c r="I392" s="64" t="n">
        <v>228</v>
      </c>
      <c r="J392" s="39" t="n">
        <v>45708</v>
      </c>
      <c r="K392" t="inlineStr">
        <is>
          <t>LOC</t>
        </is>
      </c>
      <c r="L392" t="inlineStr">
        <is>
          <t>-</t>
        </is>
      </c>
      <c r="N392">
        <f>IF(F392="","NÃO","SIM")</f>
        <v/>
      </c>
      <c r="O392">
        <f>IF($B392=5,"SIM","")</f>
        <v/>
      </c>
      <c r="P392" s="81">
        <f>A392&amp;B392&amp;C392&amp;E392&amp;G392&amp;EDATE(J392,0)</f>
        <v/>
      </c>
      <c r="Q392" s="71">
        <f>IF(A392=0,"",VLOOKUP($A392,RESUMO!$A$8:$B$83,2,FALSE))</f>
        <v/>
      </c>
    </row>
    <row r="393">
      <c r="A393" s="39" t="n">
        <v>45708</v>
      </c>
      <c r="B393" s="53" t="n">
        <v>3</v>
      </c>
      <c r="C393" t="inlineStr">
        <is>
          <t>02697297000383</t>
        </is>
      </c>
      <c r="D393" t="inlineStr">
        <is>
          <t>UNIVERSO ELÉTRICO LTDA</t>
        </is>
      </c>
      <c r="E393" t="inlineStr">
        <is>
          <t>MATERIAIS ELÉRICOS</t>
        </is>
      </c>
      <c r="F393" t="inlineStr">
        <is>
          <t>361974</t>
        </is>
      </c>
      <c r="G393" s="64" t="n">
        <v>400</v>
      </c>
      <c r="H393" t="n">
        <v>1</v>
      </c>
      <c r="I393" s="64" t="n">
        <v>400</v>
      </c>
      <c r="J393" s="39" t="n">
        <v>45708</v>
      </c>
      <c r="K393" t="inlineStr">
        <is>
          <t>MAT</t>
        </is>
      </c>
      <c r="L393" t="inlineStr">
        <is>
          <t>-</t>
        </is>
      </c>
      <c r="N393">
        <f>IF(F393="","NÃO","SIM")</f>
        <v/>
      </c>
      <c r="O393">
        <f>IF($B393=5,"SIM","")</f>
        <v/>
      </c>
      <c r="P393" s="81">
        <f>A393&amp;B393&amp;C393&amp;E393&amp;G393&amp;EDATE(J393,0)</f>
        <v/>
      </c>
      <c r="Q393" s="71">
        <f>IF(A393=0,"",VLOOKUP($A393,RESUMO!$A$8:$B$83,2,FALSE))</f>
        <v/>
      </c>
    </row>
    <row r="394">
      <c r="A394" s="39" t="n">
        <v>45708</v>
      </c>
      <c r="B394" s="53" t="n">
        <v>3</v>
      </c>
      <c r="C394" t="inlineStr">
        <is>
          <t>07409393000130</t>
        </is>
      </c>
      <c r="D394" t="inlineStr">
        <is>
          <t>LOCFER</t>
        </is>
      </c>
      <c r="E394" t="inlineStr">
        <is>
          <t>ESMERILHADEIRA</t>
        </is>
      </c>
      <c r="F394" t="inlineStr">
        <is>
          <t>27600</t>
        </is>
      </c>
      <c r="G394" s="64" t="n">
        <v>100</v>
      </c>
      <c r="H394" t="n">
        <v>1</v>
      </c>
      <c r="I394" s="64" t="n">
        <v>100</v>
      </c>
      <c r="J394" s="39" t="n">
        <v>45710</v>
      </c>
      <c r="K394" t="inlineStr">
        <is>
          <t>LOC</t>
        </is>
      </c>
      <c r="L394" t="inlineStr">
        <is>
          <t>-</t>
        </is>
      </c>
      <c r="N394">
        <f>IF(F394="","NÃO","SIM")</f>
        <v/>
      </c>
      <c r="O394">
        <f>IF($B394=5,"SIM","")</f>
        <v/>
      </c>
      <c r="P394" s="81">
        <f>A394&amp;B394&amp;C394&amp;E394&amp;G394&amp;EDATE(J394,0)</f>
        <v/>
      </c>
      <c r="Q394" s="71">
        <f>IF(A394=0,"",VLOOKUP($A394,RESUMO!$A$8:$B$83,2,FALSE))</f>
        <v/>
      </c>
    </row>
    <row r="395">
      <c r="A395" s="39" t="n">
        <v>45708</v>
      </c>
      <c r="B395" s="53" t="n">
        <v>3</v>
      </c>
      <c r="C395" t="inlineStr">
        <is>
          <t>34713151000109</t>
        </is>
      </c>
      <c r="D395" t="inlineStr">
        <is>
          <t>CONSULTARELABCON</t>
        </is>
      </c>
      <c r="E395" t="inlineStr">
        <is>
          <t xml:space="preserve">ALUGUEL DE FORMAS E KITS SLUMP - FL 16445
</t>
        </is>
      </c>
      <c r="G395" s="64" t="n">
        <v>911.5</v>
      </c>
      <c r="H395" t="n">
        <v>1</v>
      </c>
      <c r="I395" s="64" t="n">
        <v>911.5</v>
      </c>
      <c r="J395" s="39" t="n">
        <v>45714</v>
      </c>
      <c r="K395" t="inlineStr">
        <is>
          <t>LOC</t>
        </is>
      </c>
      <c r="L395" t="inlineStr">
        <is>
          <t>-</t>
        </is>
      </c>
      <c r="N395">
        <f>IF(F395="","NÃO","SIM")</f>
        <v/>
      </c>
      <c r="O395">
        <f>IF($B395=5,"SIM","")</f>
        <v/>
      </c>
      <c r="P395" s="81">
        <f>A395&amp;B395&amp;C395&amp;E395&amp;G395&amp;EDATE(J395,0)</f>
        <v/>
      </c>
      <c r="Q395" s="71">
        <f>IF(A395=0,"",VLOOKUP($A395,RESUMO!$A$8:$B$83,2,FALSE))</f>
        <v/>
      </c>
    </row>
    <row r="396">
      <c r="A396" s="39" t="n">
        <v>45708</v>
      </c>
      <c r="B396" s="53" t="n">
        <v>3</v>
      </c>
      <c r="C396" t="inlineStr">
        <is>
          <t>34713151000109</t>
        </is>
      </c>
      <c r="D396" t="inlineStr">
        <is>
          <t>CONSULTARELABCON</t>
        </is>
      </c>
      <c r="E396" t="inlineStr">
        <is>
          <t>CONTROLE TECNOLÓGICO DA QUALIDADE DE MATERIAIS</t>
        </is>
      </c>
      <c r="F396" t="inlineStr">
        <is>
          <t>223</t>
        </is>
      </c>
      <c r="G396" s="64" t="n">
        <v>911.5</v>
      </c>
      <c r="H396" t="n">
        <v>1</v>
      </c>
      <c r="I396" s="64" t="n">
        <v>911.5</v>
      </c>
      <c r="J396" s="39" t="n">
        <v>45714</v>
      </c>
      <c r="K396" t="inlineStr">
        <is>
          <t>LOC</t>
        </is>
      </c>
      <c r="L396" t="inlineStr">
        <is>
          <t>-</t>
        </is>
      </c>
      <c r="N396">
        <f>IF(F396="","NÃO","SIM")</f>
        <v/>
      </c>
      <c r="O396">
        <f>IF($B396=5,"SIM","")</f>
        <v/>
      </c>
      <c r="P396" s="81">
        <f>A396&amp;B396&amp;C396&amp;E396&amp;G396&amp;EDATE(J396,0)</f>
        <v/>
      </c>
      <c r="Q396" s="71">
        <f>IF(A396=0,"",VLOOKUP($A396,RESUMO!$A$8:$B$83,2,FALSE))</f>
        <v/>
      </c>
    </row>
    <row r="397">
      <c r="A397" s="39" t="n">
        <v>45708</v>
      </c>
      <c r="B397" s="53" t="n">
        <v>3</v>
      </c>
      <c r="C397" t="inlineStr">
        <is>
          <t>30996544000116</t>
        </is>
      </c>
      <c r="D397" t="inlineStr">
        <is>
          <t>WORK MED</t>
        </is>
      </c>
      <c r="E397" t="inlineStr">
        <is>
          <t>REALIZAÇÃO EXAMES</t>
        </is>
      </c>
      <c r="F397" t="inlineStr">
        <is>
          <t>3099</t>
        </is>
      </c>
      <c r="G397" s="64" t="n">
        <v>188</v>
      </c>
      <c r="H397" t="n">
        <v>1</v>
      </c>
      <c r="I397" s="64" t="n">
        <v>188</v>
      </c>
      <c r="J397" s="39" t="n">
        <v>45714</v>
      </c>
      <c r="K397" t="inlineStr">
        <is>
          <t>MO</t>
        </is>
      </c>
      <c r="L397" t="inlineStr">
        <is>
          <t>-</t>
        </is>
      </c>
      <c r="N397">
        <f>IF(F397="","NÃO","SIM")</f>
        <v/>
      </c>
      <c r="O397">
        <f>IF($B397=5,"SIM","")</f>
        <v/>
      </c>
      <c r="P397" s="81">
        <f>A397&amp;B397&amp;C397&amp;E397&amp;G397&amp;EDATE(J397,0)</f>
        <v/>
      </c>
      <c r="Q397" s="71">
        <f>IF(A397=0,"",VLOOKUP($A397,RESUMO!$A$8:$B$83,2,FALSE))</f>
        <v/>
      </c>
    </row>
    <row r="398">
      <c r="A398" s="39" t="n">
        <v>45708</v>
      </c>
      <c r="B398" s="53" t="n">
        <v>3</v>
      </c>
      <c r="C398" s="63" t="inlineStr">
        <is>
          <t>14313602000116</t>
        </is>
      </c>
      <c r="D398" t="inlineStr">
        <is>
          <t>VIDA EQUIPAMENTOS DE PROTECAO</t>
        </is>
      </c>
      <c r="E398" t="inlineStr">
        <is>
          <t>BOTINAS</t>
        </is>
      </c>
      <c r="F398" t="n">
        <v>29030</v>
      </c>
      <c r="G398" s="64" t="n">
        <v>159.94</v>
      </c>
      <c r="H398" t="n">
        <v>1</v>
      </c>
      <c r="I398" s="64" t="n">
        <v>159.94</v>
      </c>
      <c r="J398" s="39" t="n">
        <v>45715</v>
      </c>
      <c r="K398" t="inlineStr">
        <is>
          <t>MAT</t>
        </is>
      </c>
      <c r="L398" t="inlineStr">
        <is>
          <t>-</t>
        </is>
      </c>
      <c r="N398">
        <f>IF(F398="","NÃO","SIM")</f>
        <v/>
      </c>
      <c r="O398">
        <f>IF($B398=5,"SIM","")</f>
        <v/>
      </c>
      <c r="P398" s="81">
        <f>A398&amp;B398&amp;C398&amp;E398&amp;G398&amp;EDATE(J398,0)</f>
        <v/>
      </c>
      <c r="Q398" s="71">
        <f>IF(A398=0,"",VLOOKUP($A398,RESUMO!$A$8:$B$83,2,FALSE))</f>
        <v/>
      </c>
    </row>
    <row r="399">
      <c r="A399" s="39" t="n">
        <v>45708</v>
      </c>
      <c r="B399" s="53" t="n">
        <v>3</v>
      </c>
      <c r="C399" t="inlineStr">
        <is>
          <t>24654133000220</t>
        </is>
      </c>
      <c r="D399" t="inlineStr">
        <is>
          <t xml:space="preserve">PLIMAX PERSONA </t>
        </is>
      </c>
      <c r="E399" t="inlineStr">
        <is>
          <t>CESTAS BÁSICAS</t>
        </is>
      </c>
      <c r="F399" t="inlineStr">
        <is>
          <t>276256</t>
        </is>
      </c>
      <c r="G399" s="64" t="n">
        <v>2799.7</v>
      </c>
      <c r="H399" t="n">
        <v>1</v>
      </c>
      <c r="I399" s="64" t="n">
        <v>2799.7</v>
      </c>
      <c r="J399" s="39" t="n">
        <v>45716</v>
      </c>
      <c r="K399" t="inlineStr">
        <is>
          <t>MO</t>
        </is>
      </c>
      <c r="L399" t="inlineStr">
        <is>
          <t>-</t>
        </is>
      </c>
      <c r="N399">
        <f>IF(F399="","NÃO","SIM")</f>
        <v/>
      </c>
      <c r="O399">
        <f>IF($B399=5,"SIM","")</f>
        <v/>
      </c>
      <c r="P399" s="81">
        <f>A399&amp;B399&amp;C399&amp;E399&amp;G399&amp;EDATE(J399,0)</f>
        <v/>
      </c>
      <c r="Q399" s="71">
        <f>IF(A399=0,"",VLOOKUP($A399,RESUMO!$A$8:$B$83,2,FALSE))</f>
        <v/>
      </c>
    </row>
    <row r="400">
      <c r="A400" s="39" t="n">
        <v>45708</v>
      </c>
      <c r="B400" s="53" t="n">
        <v>3</v>
      </c>
      <c r="C400" t="inlineStr">
        <is>
          <t>38727707000177</t>
        </is>
      </c>
      <c r="D400" t="inlineStr">
        <is>
          <t>PASI SEGURO</t>
        </is>
      </c>
      <c r="E400" t="inlineStr">
        <is>
          <t>SEGURO COLABORADORES</t>
        </is>
      </c>
      <c r="G400" s="64" t="n">
        <v>208.89</v>
      </c>
      <c r="H400" t="n">
        <v>1</v>
      </c>
      <c r="I400" s="64" t="n">
        <v>208.89</v>
      </c>
      <c r="J400" s="39" t="n">
        <v>45716</v>
      </c>
      <c r="K400" t="inlineStr">
        <is>
          <t>MO</t>
        </is>
      </c>
      <c r="L400" t="inlineStr">
        <is>
          <t>-</t>
        </is>
      </c>
      <c r="N400">
        <f>IF(F400="","NÃO","SIM")</f>
        <v/>
      </c>
      <c r="O400">
        <f>IF($B400=5,"SIM","")</f>
        <v/>
      </c>
      <c r="P400" s="81">
        <f>A400&amp;B400&amp;C400&amp;E400&amp;G400&amp;EDATE(J400,0)</f>
        <v/>
      </c>
      <c r="Q400" s="71">
        <f>IF(A400=0,"",VLOOKUP($A400,RESUMO!$A$8:$B$83,2,FALSE))</f>
        <v/>
      </c>
    </row>
    <row r="401">
      <c r="A401" s="39" t="n">
        <v>45708</v>
      </c>
      <c r="B401" s="53" t="n">
        <v>3</v>
      </c>
      <c r="C401" t="inlineStr">
        <is>
          <t>07409393000130</t>
        </is>
      </c>
      <c r="D401" t="inlineStr">
        <is>
          <t>LOCFER</t>
        </is>
      </c>
      <c r="E401" t="inlineStr">
        <is>
          <t>SERRA E POLICORTE</t>
        </is>
      </c>
      <c r="F401" t="inlineStr">
        <is>
          <t>27667</t>
        </is>
      </c>
      <c r="G401" s="64" t="n">
        <v>235</v>
      </c>
      <c r="H401" t="n">
        <v>1</v>
      </c>
      <c r="I401" s="64" t="n">
        <v>235</v>
      </c>
      <c r="J401" s="39" t="n">
        <v>45716</v>
      </c>
      <c r="K401" t="inlineStr">
        <is>
          <t>LOC</t>
        </is>
      </c>
      <c r="L401" t="inlineStr">
        <is>
          <t>-</t>
        </is>
      </c>
      <c r="N401">
        <f>IF(F401="","NÃO","SIM")</f>
        <v/>
      </c>
      <c r="O401">
        <f>IF($B401=5,"SIM","")</f>
        <v/>
      </c>
      <c r="P401" s="81">
        <f>A401&amp;B401&amp;C401&amp;E401&amp;G401&amp;EDATE(J401,0)</f>
        <v/>
      </c>
      <c r="Q401" s="71">
        <f>IF(A401=0,"",VLOOKUP($A401,RESUMO!$A$8:$B$83,2,FALSE))</f>
        <v/>
      </c>
    </row>
    <row r="402">
      <c r="A402" s="39" t="n">
        <v>45708</v>
      </c>
      <c r="B402" s="53" t="n">
        <v>3</v>
      </c>
      <c r="C402" t="inlineStr">
        <is>
          <t>07409393000130</t>
        </is>
      </c>
      <c r="D402" t="inlineStr">
        <is>
          <t>LOCFER</t>
        </is>
      </c>
      <c r="E402" t="inlineStr">
        <is>
          <t>SERRA, MARTELO</t>
        </is>
      </c>
      <c r="F402" t="inlineStr">
        <is>
          <t>27744</t>
        </is>
      </c>
      <c r="G402" s="64" t="n">
        <v>1250</v>
      </c>
      <c r="H402" t="n">
        <v>1</v>
      </c>
      <c r="I402" s="64" t="n">
        <v>1250</v>
      </c>
      <c r="J402" s="39" t="n">
        <v>45722</v>
      </c>
      <c r="K402" t="inlineStr">
        <is>
          <t>LOC</t>
        </is>
      </c>
      <c r="L402" t="inlineStr">
        <is>
          <t>-</t>
        </is>
      </c>
      <c r="N402">
        <f>IF(F402="","NÃO","SIM")</f>
        <v/>
      </c>
      <c r="O402">
        <f>IF($B402=5,"SIM","")</f>
        <v/>
      </c>
      <c r="P402" s="81">
        <f>A402&amp;B402&amp;C402&amp;E402&amp;G402&amp;EDATE(J402,0)</f>
        <v/>
      </c>
      <c r="Q402" s="71">
        <f>IF(A402=0,"",VLOOKUP($A402,RESUMO!$A$8:$B$83,2,FALSE))</f>
        <v/>
      </c>
    </row>
    <row r="403">
      <c r="A403" s="39" t="n">
        <v>45708</v>
      </c>
      <c r="B403" s="53" t="n">
        <v>5</v>
      </c>
      <c r="C403" t="inlineStr">
        <is>
          <t>97397491000198</t>
        </is>
      </c>
      <c r="D403" t="inlineStr">
        <is>
          <t>COMERCIAL ISO LTDA</t>
        </is>
      </c>
      <c r="E403" t="inlineStr">
        <is>
          <t>ESPAÇADOR</t>
        </is>
      </c>
      <c r="F403" t="inlineStr">
        <is>
          <t>62776</t>
        </is>
      </c>
      <c r="G403" s="64" t="n">
        <v>130</v>
      </c>
      <c r="H403" t="n">
        <v>1</v>
      </c>
      <c r="I403" s="64" t="n">
        <v>130</v>
      </c>
      <c r="J403" s="39" t="n">
        <v>45694</v>
      </c>
      <c r="K403" t="inlineStr">
        <is>
          <t>MAT</t>
        </is>
      </c>
      <c r="L403" t="inlineStr">
        <is>
          <t>-</t>
        </is>
      </c>
      <c r="N403">
        <f>IF(F403="","NÃO","SIM")</f>
        <v/>
      </c>
      <c r="O403">
        <f>IF($B403=5,"SIM","")</f>
        <v/>
      </c>
      <c r="P403" s="81">
        <f>A403&amp;B403&amp;C403&amp;E403&amp;G403&amp;EDATE(J403,0)</f>
        <v/>
      </c>
      <c r="Q403" s="71">
        <f>IF(A403=0,"",VLOOKUP($A403,RESUMO!$A$8:$B$83,2,FALSE))</f>
        <v/>
      </c>
    </row>
    <row r="404">
      <c r="A404" s="39" t="n">
        <v>45708</v>
      </c>
      <c r="B404" s="53" t="n">
        <v>5</v>
      </c>
      <c r="C404" t="inlineStr">
        <is>
          <t>13938283000169</t>
        </is>
      </c>
      <c r="D404" t="inlineStr">
        <is>
          <t>BETON MIX</t>
        </is>
      </c>
      <c r="E404" t="inlineStr">
        <is>
          <t>CONCRETAGEM</t>
        </is>
      </c>
      <c r="G404" s="64" t="n">
        <v>26100</v>
      </c>
      <c r="H404" t="n">
        <v>1</v>
      </c>
      <c r="I404" s="64" t="n">
        <v>26100</v>
      </c>
      <c r="J404" s="39" t="n">
        <v>45695</v>
      </c>
      <c r="K404" t="inlineStr">
        <is>
          <t>MAT</t>
        </is>
      </c>
      <c r="L404" t="inlineStr">
        <is>
          <t>-</t>
        </is>
      </c>
      <c r="N404">
        <f>IF(F404="","NÃO","SIM")</f>
        <v/>
      </c>
      <c r="O404">
        <f>IF($B404=5,"SIM","")</f>
        <v/>
      </c>
      <c r="P404" s="81">
        <f>A404&amp;B404&amp;C404&amp;E404&amp;G404&amp;EDATE(J404,0)</f>
        <v/>
      </c>
      <c r="Q404" s="71">
        <f>IF(A404=0,"",VLOOKUP($A404,RESUMO!$A$8:$B$83,2,FALSE))</f>
        <v/>
      </c>
    </row>
    <row r="405">
      <c r="A405" s="39" t="n">
        <v>45708</v>
      </c>
      <c r="B405" s="53" t="n">
        <v>5</v>
      </c>
      <c r="C405" t="inlineStr">
        <is>
          <t>13938283000169</t>
        </is>
      </c>
      <c r="D405" t="inlineStr">
        <is>
          <t>BETON MIX</t>
        </is>
      </c>
      <c r="E405" t="inlineStr">
        <is>
          <t>CONCRETAGEM</t>
        </is>
      </c>
      <c r="F405" t="inlineStr">
        <is>
          <t>18048</t>
        </is>
      </c>
      <c r="G405" s="64" t="n">
        <v>36790</v>
      </c>
      <c r="H405" t="n">
        <v>1</v>
      </c>
      <c r="I405" s="64" t="n">
        <v>36790</v>
      </c>
      <c r="J405" s="39" t="n">
        <v>45696</v>
      </c>
      <c r="K405" t="inlineStr">
        <is>
          <t>MAT</t>
        </is>
      </c>
      <c r="L405" t="inlineStr">
        <is>
          <t>-</t>
        </is>
      </c>
      <c r="N405">
        <f>IF(F405="","NÃO","SIM")</f>
        <v/>
      </c>
      <c r="O405">
        <f>IF($B405=5,"SIM","")</f>
        <v/>
      </c>
      <c r="P405" s="81">
        <f>A405&amp;B405&amp;C405&amp;E405&amp;G405&amp;EDATE(J405,0)</f>
        <v/>
      </c>
      <c r="Q405" s="71">
        <f>IF(A405=0,"",VLOOKUP($A405,RESUMO!$A$8:$B$83,2,FALSE))</f>
        <v/>
      </c>
    </row>
    <row r="406">
      <c r="A406" s="39" t="n">
        <v>45708</v>
      </c>
      <c r="B406" s="53" t="n">
        <v>5</v>
      </c>
      <c r="C406" t="inlineStr">
        <is>
          <t>13938283000169</t>
        </is>
      </c>
      <c r="D406" t="inlineStr">
        <is>
          <t>BETON MIX</t>
        </is>
      </c>
      <c r="E406" t="inlineStr">
        <is>
          <t>CONCRETAGEM</t>
        </is>
      </c>
      <c r="F406" t="inlineStr">
        <is>
          <t>2150</t>
        </is>
      </c>
      <c r="G406" s="64" t="n">
        <v>11210</v>
      </c>
      <c r="H406" t="n">
        <v>1</v>
      </c>
      <c r="I406" s="64" t="n">
        <v>11210</v>
      </c>
      <c r="J406" s="39" t="n">
        <v>45696</v>
      </c>
      <c r="K406" t="inlineStr">
        <is>
          <t>MAT</t>
        </is>
      </c>
      <c r="L406" t="inlineStr">
        <is>
          <t>-</t>
        </is>
      </c>
      <c r="N406">
        <f>IF(F406="","NÃO","SIM")</f>
        <v/>
      </c>
      <c r="O406">
        <f>IF($B406=5,"SIM","")</f>
        <v/>
      </c>
      <c r="P406" s="81">
        <f>A406&amp;B406&amp;C406&amp;E406&amp;G406&amp;EDATE(J406,0)</f>
        <v/>
      </c>
      <c r="Q406" s="71">
        <f>IF(A406=0,"",VLOOKUP($A406,RESUMO!$A$8:$B$83,2,FALSE))</f>
        <v/>
      </c>
    </row>
    <row r="407">
      <c r="A407" s="39" t="n">
        <v>45708</v>
      </c>
      <c r="B407" s="53" t="n">
        <v>5</v>
      </c>
      <c r="C407" t="inlineStr">
        <is>
          <t>13938283000169</t>
        </is>
      </c>
      <c r="D407" t="inlineStr">
        <is>
          <t>BETON MIX</t>
        </is>
      </c>
      <c r="E407" t="inlineStr">
        <is>
          <t>CONCRETAGEM</t>
        </is>
      </c>
      <c r="G407" s="64" t="n">
        <v>17250</v>
      </c>
      <c r="H407" t="n">
        <v>1</v>
      </c>
      <c r="I407" s="64" t="n">
        <v>17250</v>
      </c>
      <c r="J407" s="39" t="n">
        <v>45705</v>
      </c>
      <c r="K407" t="inlineStr">
        <is>
          <t>MAT</t>
        </is>
      </c>
      <c r="L407" t="inlineStr">
        <is>
          <t>-</t>
        </is>
      </c>
      <c r="N407">
        <f>IF(F407="","NÃO","SIM")</f>
        <v/>
      </c>
      <c r="O407">
        <f>IF($B407=5,"SIM","")</f>
        <v/>
      </c>
      <c r="P407" s="81">
        <f>A407&amp;B407&amp;C407&amp;E407&amp;G407&amp;EDATE(J407,0)</f>
        <v/>
      </c>
      <c r="Q407" s="71">
        <f>IF(A407=0,"",VLOOKUP($A407,RESUMO!$A$8:$B$83,2,FALSE))</f>
        <v/>
      </c>
    </row>
    <row r="408">
      <c r="A408" s="39" t="n">
        <v>45708</v>
      </c>
      <c r="B408" t="n">
        <v>7</v>
      </c>
      <c r="C408" t="inlineStr">
        <is>
          <t>30104762000107</t>
        </is>
      </c>
      <c r="D408" t="inlineStr">
        <is>
          <t>VASCONCELOS &amp; RINALDI ENGENHARIA</t>
        </is>
      </c>
      <c r="E408" t="inlineStr">
        <is>
          <t>ADM. OBRA REF. 2ª QUINZ. 02/2025</t>
        </is>
      </c>
      <c r="G408" s="64" t="n">
        <v>16526.82</v>
      </c>
      <c r="H408" t="n">
        <v>1</v>
      </c>
      <c r="I408" s="64" t="n">
        <v>16526.82</v>
      </c>
      <c r="J408" s="39" t="n">
        <v>45708</v>
      </c>
      <c r="K408" t="inlineStr">
        <is>
          <t>ADM</t>
        </is>
      </c>
      <c r="M408" t="inlineStr">
        <is>
          <t>LANÇAMENTO AUTOMÁTICO</t>
        </is>
      </c>
      <c r="N408">
        <f>IF(F408="","NÃO","SIM")</f>
        <v/>
      </c>
      <c r="O408">
        <f>IF($B408=5,"SIM","")</f>
        <v/>
      </c>
      <c r="P408" s="81">
        <f>A408&amp;B408&amp;C408&amp;E408&amp;G408&amp;EDATE(J408,0)</f>
        <v/>
      </c>
      <c r="Q408" s="71">
        <f>IF(A408=0,"",VLOOKUP($A408,RESUMO!$A$8:$B$83,2,FALSE))</f>
        <v/>
      </c>
      <c r="R408" s="80">
        <f>#REF!-#REF!</f>
        <v/>
      </c>
    </row>
    <row r="409">
      <c r="A409" s="39" t="n">
        <v>45721</v>
      </c>
      <c r="B409" s="53" t="n">
        <v>1</v>
      </c>
      <c r="C409" t="inlineStr">
        <is>
          <t>36404993600</t>
        </is>
      </c>
      <c r="D409" t="inlineStr">
        <is>
          <t xml:space="preserve">NIVALDO DA SILVA </t>
        </is>
      </c>
      <c r="E409" t="inlineStr">
        <is>
          <t>DIÁRIA</t>
        </is>
      </c>
      <c r="G409" s="64" t="n">
        <v>270</v>
      </c>
      <c r="H409" t="n">
        <v>10</v>
      </c>
      <c r="I409" s="64" t="n">
        <v>2700</v>
      </c>
      <c r="J409" s="39" t="n">
        <v>45722</v>
      </c>
      <c r="K409" t="inlineStr">
        <is>
          <t>MO</t>
        </is>
      </c>
      <c r="L409" t="inlineStr">
        <is>
          <t>PIX: 36404993600</t>
        </is>
      </c>
      <c r="N409">
        <f>IF(F409="","NÃO","SIM")</f>
        <v/>
      </c>
      <c r="O409">
        <f>IF($B409=5,"SIM","")</f>
        <v/>
      </c>
      <c r="P409" s="81">
        <f>A409&amp;B409&amp;C409&amp;E409&amp;G409&amp;EDATE(J409,0)</f>
        <v/>
      </c>
      <c r="Q409" s="71">
        <f>IF(A409=0,"",VLOOKUP($A409,RESUMO!$A$8:$B$83,2,FALSE))</f>
        <v/>
      </c>
    </row>
    <row r="410">
      <c r="A410" s="39" t="n">
        <v>45721</v>
      </c>
      <c r="B410" s="53" t="n">
        <v>1</v>
      </c>
      <c r="C410" t="inlineStr">
        <is>
          <t>02038736375</t>
        </is>
      </c>
      <c r="D410" t="inlineStr">
        <is>
          <t>MARCELO FERNANDES DE ALMEIDA</t>
        </is>
      </c>
      <c r="E410" t="inlineStr">
        <is>
          <t>DIÁRIA</t>
        </is>
      </c>
      <c r="G410" s="64" t="n">
        <v>250</v>
      </c>
      <c r="H410" t="n">
        <v>9</v>
      </c>
      <c r="I410" s="64" t="n">
        <v>2250</v>
      </c>
      <c r="J410" s="39" t="n">
        <v>45722</v>
      </c>
      <c r="K410" t="inlineStr">
        <is>
          <t>MO</t>
        </is>
      </c>
      <c r="L410" t="inlineStr">
        <is>
          <t>PIX: 31 994629438</t>
        </is>
      </c>
      <c r="N410">
        <f>IF(F410="","NÃO","SIM")</f>
        <v/>
      </c>
      <c r="O410">
        <f>IF($B410=5,"SIM","")</f>
        <v/>
      </c>
      <c r="P410" s="81">
        <f>A410&amp;B410&amp;C410&amp;E410&amp;G410&amp;EDATE(J410,0)</f>
        <v/>
      </c>
      <c r="Q410" s="71">
        <f>IF(A410=0,"",VLOOKUP($A410,RESUMO!$A$8:$B$83,2,FALSE))</f>
        <v/>
      </c>
    </row>
    <row r="411">
      <c r="A411" s="39" t="n">
        <v>45721</v>
      </c>
      <c r="B411" s="53" t="n">
        <v>1</v>
      </c>
      <c r="C411" t="inlineStr">
        <is>
          <t>07573876670</t>
        </is>
      </c>
      <c r="D411" t="inlineStr">
        <is>
          <t>BRUNO JUNIO DA SILVA</t>
        </is>
      </c>
      <c r="E411" t="inlineStr">
        <is>
          <t>SALÁRIO</t>
        </is>
      </c>
      <c r="G411" s="64" t="n">
        <v>2553.63</v>
      </c>
      <c r="H411" t="n">
        <v>1</v>
      </c>
      <c r="I411" s="64" t="n">
        <v>2553.63</v>
      </c>
      <c r="J411" s="39" t="n">
        <v>45722</v>
      </c>
      <c r="K411" t="inlineStr">
        <is>
          <t>MO</t>
        </is>
      </c>
      <c r="L411" t="inlineStr">
        <is>
          <t>PIX: 07573876670</t>
        </is>
      </c>
      <c r="N411">
        <f>IF(F411="","NÃO","SIM")</f>
        <v/>
      </c>
      <c r="O411">
        <f>IF($B411=5,"SIM","")</f>
        <v/>
      </c>
      <c r="P411" s="81">
        <f>A411&amp;B411&amp;C411&amp;E411&amp;G411&amp;EDATE(J411,0)</f>
        <v/>
      </c>
      <c r="Q411" s="71">
        <f>IF(A411=0,"",VLOOKUP($A411,RESUMO!$A$8:$B$83,2,FALSE))</f>
        <v/>
      </c>
    </row>
    <row r="412">
      <c r="A412" s="39" t="n">
        <v>45721</v>
      </c>
      <c r="B412" s="53" t="n">
        <v>1</v>
      </c>
      <c r="C412" t="inlineStr">
        <is>
          <t>07573876670</t>
        </is>
      </c>
      <c r="D412" t="inlineStr">
        <is>
          <t>BRUNO JUNIO DA SILVA</t>
        </is>
      </c>
      <c r="E412" t="inlineStr">
        <is>
          <t>TRANSPORTE</t>
        </is>
      </c>
      <c r="G412" s="64" t="n">
        <v>43.2</v>
      </c>
      <c r="H412" t="n">
        <v>20</v>
      </c>
      <c r="I412" s="64" t="n">
        <v>864</v>
      </c>
      <c r="J412" s="39" t="n">
        <v>45722</v>
      </c>
      <c r="K412" t="inlineStr">
        <is>
          <t>MO</t>
        </is>
      </c>
      <c r="L412" t="inlineStr">
        <is>
          <t>PIX: 07573876670</t>
        </is>
      </c>
      <c r="N412">
        <f>IF(F412="","NÃO","SIM")</f>
        <v/>
      </c>
      <c r="O412">
        <f>IF($B412=5,"SIM","")</f>
        <v/>
      </c>
      <c r="P412" s="81">
        <f>A412&amp;B412&amp;C412&amp;E412&amp;G412&amp;EDATE(J412,0)</f>
        <v/>
      </c>
      <c r="Q412" s="71">
        <f>IF(A412=0,"",VLOOKUP($A412,RESUMO!$A$8:$B$83,2,FALSE))</f>
        <v/>
      </c>
    </row>
    <row r="413">
      <c r="A413" s="39" t="n">
        <v>45721</v>
      </c>
      <c r="B413" s="53" t="n">
        <v>1</v>
      </c>
      <c r="C413" t="inlineStr">
        <is>
          <t>07573876670</t>
        </is>
      </c>
      <c r="D413" t="inlineStr">
        <is>
          <t>BRUNO JUNIO DA SILVA</t>
        </is>
      </c>
      <c r="E413" t="inlineStr">
        <is>
          <t>CAFÉ</t>
        </is>
      </c>
      <c r="G413" s="64" t="n">
        <v>6</v>
      </c>
      <c r="H413" t="n">
        <v>20</v>
      </c>
      <c r="I413" s="64" t="n">
        <v>120</v>
      </c>
      <c r="J413" s="39" t="n">
        <v>45722</v>
      </c>
      <c r="K413" t="inlineStr">
        <is>
          <t>MO</t>
        </is>
      </c>
      <c r="L413" t="inlineStr">
        <is>
          <t>PIX: 07573876670</t>
        </is>
      </c>
      <c r="N413">
        <f>IF(F413="","NÃO","SIM")</f>
        <v/>
      </c>
      <c r="O413">
        <f>IF($B413=5,"SIM","")</f>
        <v/>
      </c>
      <c r="P413" s="81">
        <f>A413&amp;B413&amp;C413&amp;E413&amp;G413&amp;EDATE(J413,0)</f>
        <v/>
      </c>
      <c r="Q413" s="71">
        <f>IF(A413=0,"",VLOOKUP($A413,RESUMO!$A$8:$B$83,2,FALSE))</f>
        <v/>
      </c>
    </row>
    <row r="414">
      <c r="A414" s="39" t="n">
        <v>45721</v>
      </c>
      <c r="B414" s="53" t="n">
        <v>1</v>
      </c>
      <c r="C414" t="inlineStr">
        <is>
          <t>00354432605</t>
        </is>
      </c>
      <c r="D414" t="inlineStr">
        <is>
          <t>ANTONIO DUTRA DE FREITAS</t>
        </is>
      </c>
      <c r="E414" t="inlineStr">
        <is>
          <t>SALÁRIO</t>
        </is>
      </c>
      <c r="G414" s="64" t="n">
        <v>1409.01</v>
      </c>
      <c r="H414" t="n">
        <v>1</v>
      </c>
      <c r="I414" s="64" t="n">
        <v>1409.01</v>
      </c>
      <c r="J414" s="39" t="n">
        <v>45722</v>
      </c>
      <c r="K414" t="inlineStr">
        <is>
          <t>MO</t>
        </is>
      </c>
      <c r="L414" t="inlineStr">
        <is>
          <t>PIX: 31982618378</t>
        </is>
      </c>
      <c r="N414">
        <f>IF(F414="","NÃO","SIM")</f>
        <v/>
      </c>
      <c r="O414">
        <f>IF($B414=5,"SIM","")</f>
        <v/>
      </c>
      <c r="P414" s="81">
        <f>A414&amp;B414&amp;C414&amp;E414&amp;G414&amp;EDATE(J414,0)</f>
        <v/>
      </c>
      <c r="Q414" s="71">
        <f>IF(A414=0,"",VLOOKUP($A414,RESUMO!$A$8:$B$83,2,FALSE))</f>
        <v/>
      </c>
    </row>
    <row r="415">
      <c r="A415" s="39" t="n">
        <v>45721</v>
      </c>
      <c r="B415" s="53" t="n">
        <v>1</v>
      </c>
      <c r="C415" t="inlineStr">
        <is>
          <t>00354432605</t>
        </is>
      </c>
      <c r="D415" t="inlineStr">
        <is>
          <t>ANTONIO DUTRA DE FREITAS</t>
        </is>
      </c>
      <c r="E415" t="inlineStr">
        <is>
          <t>TRANSPORTE</t>
        </is>
      </c>
      <c r="G415" s="64" t="n">
        <v>43.2</v>
      </c>
      <c r="H415" t="n">
        <v>20</v>
      </c>
      <c r="I415" s="64" t="n">
        <v>864</v>
      </c>
      <c r="J415" s="39" t="n">
        <v>45722</v>
      </c>
      <c r="K415" t="inlineStr">
        <is>
          <t>MO</t>
        </is>
      </c>
      <c r="L415" t="inlineStr">
        <is>
          <t>PIX: 31982618378</t>
        </is>
      </c>
      <c r="N415">
        <f>IF(F415="","NÃO","SIM")</f>
        <v/>
      </c>
      <c r="O415">
        <f>IF($B415=5,"SIM","")</f>
        <v/>
      </c>
      <c r="P415" s="81">
        <f>A415&amp;B415&amp;C415&amp;E415&amp;G415&amp;EDATE(J415,0)</f>
        <v/>
      </c>
      <c r="Q415" s="71">
        <f>IF(A415=0,"",VLOOKUP($A415,RESUMO!$A$8:$B$83,2,FALSE))</f>
        <v/>
      </c>
    </row>
    <row r="416">
      <c r="A416" s="39" t="n">
        <v>45721</v>
      </c>
      <c r="B416" s="53" t="n">
        <v>1</v>
      </c>
      <c r="C416" t="inlineStr">
        <is>
          <t>00354432605</t>
        </is>
      </c>
      <c r="D416" t="inlineStr">
        <is>
          <t>ANTONIO DUTRA DE FREITAS</t>
        </is>
      </c>
      <c r="E416" t="inlineStr">
        <is>
          <t>CAFÉ</t>
        </is>
      </c>
      <c r="G416" s="64" t="n">
        <v>6</v>
      </c>
      <c r="H416" t="n">
        <v>20</v>
      </c>
      <c r="I416" s="64" t="n">
        <v>120</v>
      </c>
      <c r="J416" s="39" t="n">
        <v>45722</v>
      </c>
      <c r="K416" t="inlineStr">
        <is>
          <t>MO</t>
        </is>
      </c>
      <c r="L416" t="inlineStr">
        <is>
          <t>PIX: 31982618378</t>
        </is>
      </c>
      <c r="N416">
        <f>IF(F416="","NÃO","SIM")</f>
        <v/>
      </c>
      <c r="O416">
        <f>IF($B416=5,"SIM","")</f>
        <v/>
      </c>
      <c r="P416" s="81">
        <f>A416&amp;B416&amp;C416&amp;E416&amp;G416&amp;EDATE(J416,0)</f>
        <v/>
      </c>
      <c r="Q416" s="71">
        <f>IF(A416=0,"",VLOOKUP($A416,RESUMO!$A$8:$B$83,2,FALSE))</f>
        <v/>
      </c>
    </row>
    <row r="417">
      <c r="A417" s="39" t="n">
        <v>45721</v>
      </c>
      <c r="B417" s="53" t="n">
        <v>1</v>
      </c>
      <c r="C417" t="inlineStr">
        <is>
          <t>07249031600</t>
        </is>
      </c>
      <c r="D417" t="inlineStr">
        <is>
          <t>EDER PEREIRA DA SILVA</t>
        </is>
      </c>
      <c r="E417" t="inlineStr">
        <is>
          <t>SALÁRIO</t>
        </is>
      </c>
      <c r="G417" s="64" t="n">
        <v>1493.8</v>
      </c>
      <c r="H417" t="n">
        <v>1</v>
      </c>
      <c r="I417" s="64" t="n">
        <v>1493.8</v>
      </c>
      <c r="J417" s="39" t="n">
        <v>45722</v>
      </c>
      <c r="K417" t="inlineStr">
        <is>
          <t>MO</t>
        </is>
      </c>
      <c r="L417" t="inlineStr">
        <is>
          <t>PIX: 07249031600</t>
        </is>
      </c>
      <c r="N417">
        <f>IF(F417="","NÃO","SIM")</f>
        <v/>
      </c>
      <c r="O417">
        <f>IF($B417=5,"SIM","")</f>
        <v/>
      </c>
      <c r="P417" s="81">
        <f>A417&amp;B417&amp;C417&amp;E417&amp;G417&amp;EDATE(J417,0)</f>
        <v/>
      </c>
      <c r="Q417" s="71">
        <f>IF(A417=0,"",VLOOKUP($A417,RESUMO!$A$8:$B$83,2,FALSE))</f>
        <v/>
      </c>
    </row>
    <row r="418">
      <c r="A418" s="39" t="n">
        <v>45721</v>
      </c>
      <c r="B418" s="53" t="n">
        <v>1</v>
      </c>
      <c r="C418" t="inlineStr">
        <is>
          <t>07249031600</t>
        </is>
      </c>
      <c r="D418" t="inlineStr">
        <is>
          <t>EDER PEREIRA DA SILVA</t>
        </is>
      </c>
      <c r="E418" t="inlineStr">
        <is>
          <t>TRANSPORTE</t>
        </is>
      </c>
      <c r="G418" s="64" t="n">
        <v>43.2</v>
      </c>
      <c r="H418" t="n">
        <v>21</v>
      </c>
      <c r="I418" s="64" t="n">
        <v>907.2</v>
      </c>
      <c r="J418" s="39" t="n">
        <v>45722</v>
      </c>
      <c r="K418" t="inlineStr">
        <is>
          <t>MO</t>
        </is>
      </c>
      <c r="L418" t="inlineStr">
        <is>
          <t>PIX: 07249031600</t>
        </is>
      </c>
      <c r="N418">
        <f>IF(F418="","NÃO","SIM")</f>
        <v/>
      </c>
      <c r="O418">
        <f>IF($B418=5,"SIM","")</f>
        <v/>
      </c>
      <c r="P418" s="81">
        <f>A418&amp;B418&amp;C418&amp;E418&amp;G418&amp;EDATE(J418,0)</f>
        <v/>
      </c>
      <c r="Q418" s="71">
        <f>IF(A418=0,"",VLOOKUP($A418,RESUMO!$A$8:$B$83,2,FALSE))</f>
        <v/>
      </c>
    </row>
    <row r="419">
      <c r="A419" s="39" t="n">
        <v>45721</v>
      </c>
      <c r="B419" s="53" t="n">
        <v>1</v>
      </c>
      <c r="C419" t="inlineStr">
        <is>
          <t>07249031600</t>
        </is>
      </c>
      <c r="D419" t="inlineStr">
        <is>
          <t>EDER PEREIRA DA SILVA</t>
        </is>
      </c>
      <c r="E419" t="inlineStr">
        <is>
          <t>CAFÉ</t>
        </is>
      </c>
      <c r="G419" s="64" t="n">
        <v>6</v>
      </c>
      <c r="H419" t="n">
        <v>21</v>
      </c>
      <c r="I419" s="64" t="n">
        <v>126</v>
      </c>
      <c r="J419" s="39" t="n">
        <v>45722</v>
      </c>
      <c r="K419" t="inlineStr">
        <is>
          <t>MO</t>
        </is>
      </c>
      <c r="L419" t="inlineStr">
        <is>
          <t>PIX: 07249031600</t>
        </is>
      </c>
      <c r="N419">
        <f>IF(F419="","NÃO","SIM")</f>
        <v/>
      </c>
      <c r="O419">
        <f>IF($B419=5,"SIM","")</f>
        <v/>
      </c>
      <c r="P419" s="81">
        <f>A419&amp;B419&amp;C419&amp;E419&amp;G419&amp;EDATE(J419,0)</f>
        <v/>
      </c>
      <c r="Q419" s="71">
        <f>IF(A419=0,"",VLOOKUP($A419,RESUMO!$A$8:$B$83,2,FALSE))</f>
        <v/>
      </c>
    </row>
    <row r="420">
      <c r="A420" s="39" t="n">
        <v>45721</v>
      </c>
      <c r="B420" s="53" t="n">
        <v>1</v>
      </c>
      <c r="C420" t="inlineStr">
        <is>
          <t>14758063613</t>
        </is>
      </c>
      <c r="D420" t="inlineStr">
        <is>
          <t>IZAEL BISPO OLIVEIRA</t>
        </is>
      </c>
      <c r="E420" t="inlineStr">
        <is>
          <t>SALÁRIO</t>
        </is>
      </c>
      <c r="G420" s="64" t="n">
        <v>1493.8</v>
      </c>
      <c r="H420" t="n">
        <v>1</v>
      </c>
      <c r="I420" s="64" t="n">
        <v>1493.8</v>
      </c>
      <c r="J420" s="39" t="n">
        <v>45722</v>
      </c>
      <c r="K420" t="inlineStr">
        <is>
          <t>MO</t>
        </is>
      </c>
      <c r="L420" t="inlineStr">
        <is>
          <t>PIX: 14758063613</t>
        </is>
      </c>
      <c r="N420">
        <f>IF(F420="","NÃO","SIM")</f>
        <v/>
      </c>
      <c r="O420">
        <f>IF($B420=5,"SIM","")</f>
        <v/>
      </c>
      <c r="P420" s="81">
        <f>A420&amp;B420&amp;C420&amp;E420&amp;G420&amp;EDATE(J420,0)</f>
        <v/>
      </c>
      <c r="Q420" s="71">
        <f>IF(A420=0,"",VLOOKUP($A420,RESUMO!$A$8:$B$83,2,FALSE))</f>
        <v/>
      </c>
    </row>
    <row r="421">
      <c r="A421" s="39" t="n">
        <v>45721</v>
      </c>
      <c r="B421" s="53" t="n">
        <v>1</v>
      </c>
      <c r="C421" t="inlineStr">
        <is>
          <t>14758063613</t>
        </is>
      </c>
      <c r="D421" t="inlineStr">
        <is>
          <t>IZAEL BISPO OLIVEIRA</t>
        </is>
      </c>
      <c r="E421" t="inlineStr">
        <is>
          <t>TRANSPORTE</t>
        </is>
      </c>
      <c r="G421" s="64" t="n">
        <v>44.8</v>
      </c>
      <c r="H421" t="n">
        <v>21</v>
      </c>
      <c r="I421" s="64" t="n">
        <v>940.8</v>
      </c>
      <c r="J421" s="39" t="n">
        <v>45722</v>
      </c>
      <c r="K421" t="inlineStr">
        <is>
          <t>MO</t>
        </is>
      </c>
      <c r="L421" t="inlineStr">
        <is>
          <t>PIX: 14758063613</t>
        </is>
      </c>
      <c r="N421">
        <f>IF(F421="","NÃO","SIM")</f>
        <v/>
      </c>
      <c r="O421">
        <f>IF($B421=5,"SIM","")</f>
        <v/>
      </c>
      <c r="P421" s="81">
        <f>A421&amp;B421&amp;C421&amp;E421&amp;G421&amp;EDATE(J421,0)</f>
        <v/>
      </c>
      <c r="Q421" s="71">
        <f>IF(A421=0,"",VLOOKUP($A421,RESUMO!$A$8:$B$83,2,FALSE))</f>
        <v/>
      </c>
    </row>
    <row r="422">
      <c r="A422" s="39" t="n">
        <v>45721</v>
      </c>
      <c r="B422" s="53" t="n">
        <v>1</v>
      </c>
      <c r="C422" t="inlineStr">
        <is>
          <t>14758063613</t>
        </is>
      </c>
      <c r="D422" t="inlineStr">
        <is>
          <t>IZAEL BISPO OLIVEIRA</t>
        </is>
      </c>
      <c r="E422" t="inlineStr">
        <is>
          <t>CAFÉ</t>
        </is>
      </c>
      <c r="G422" s="64" t="n">
        <v>6</v>
      </c>
      <c r="H422" t="n">
        <v>21</v>
      </c>
      <c r="I422" s="64" t="n">
        <v>126</v>
      </c>
      <c r="J422" s="39" t="n">
        <v>45722</v>
      </c>
      <c r="K422" t="inlineStr">
        <is>
          <t>MO</t>
        </is>
      </c>
      <c r="L422" t="inlineStr">
        <is>
          <t>PIX: 14758063613</t>
        </is>
      </c>
      <c r="N422">
        <f>IF(F422="","NÃO","SIM")</f>
        <v/>
      </c>
      <c r="O422">
        <f>IF($B422=5,"SIM","")</f>
        <v/>
      </c>
      <c r="P422" s="81">
        <f>A422&amp;B422&amp;C422&amp;E422&amp;G422&amp;EDATE(J422,0)</f>
        <v/>
      </c>
      <c r="Q422" s="71">
        <f>IF(A422=0,"",VLOOKUP($A422,RESUMO!$A$8:$B$83,2,FALSE))</f>
        <v/>
      </c>
    </row>
    <row r="423">
      <c r="A423" s="39" t="n">
        <v>45721</v>
      </c>
      <c r="B423" s="53" t="n">
        <v>1</v>
      </c>
      <c r="C423" t="inlineStr">
        <is>
          <t>85086894387</t>
        </is>
      </c>
      <c r="D423" t="inlineStr">
        <is>
          <t>ROBERVAL PORTACIO DOS SANTOS</t>
        </is>
      </c>
      <c r="E423" t="inlineStr">
        <is>
          <t>SALÁRIO</t>
        </is>
      </c>
      <c r="G423" s="64" t="n">
        <v>829.1</v>
      </c>
      <c r="H423" t="n">
        <v>1</v>
      </c>
      <c r="I423" s="64" t="n">
        <v>829.1</v>
      </c>
      <c r="J423" s="39" t="n">
        <v>45722</v>
      </c>
      <c r="K423" t="inlineStr">
        <is>
          <t>MO</t>
        </is>
      </c>
      <c r="L423" t="inlineStr">
        <is>
          <t>PIX: 31971706400</t>
        </is>
      </c>
      <c r="N423">
        <f>IF(F423="","NÃO","SIM")</f>
        <v/>
      </c>
      <c r="O423">
        <f>IF($B423=5,"SIM","")</f>
        <v/>
      </c>
      <c r="P423" s="81">
        <f>A423&amp;B423&amp;C423&amp;E423&amp;G423&amp;EDATE(J423,0)</f>
        <v/>
      </c>
      <c r="Q423" s="71">
        <f>IF(A423=0,"",VLOOKUP($A423,RESUMO!$A$8:$B$83,2,FALSE))</f>
        <v/>
      </c>
    </row>
    <row r="424">
      <c r="A424" s="39" t="n">
        <v>45721</v>
      </c>
      <c r="B424" s="53" t="n">
        <v>1</v>
      </c>
      <c r="C424" t="inlineStr">
        <is>
          <t>85086894387</t>
        </is>
      </c>
      <c r="D424" t="inlineStr">
        <is>
          <t>ROBERVAL PORTACIO DOS SANTOS</t>
        </is>
      </c>
      <c r="E424" t="inlineStr">
        <is>
          <t>TRANSPORTE</t>
        </is>
      </c>
      <c r="G424" s="64" t="n">
        <v>43.2</v>
      </c>
      <c r="H424" t="n">
        <v>19</v>
      </c>
      <c r="I424" s="64" t="n">
        <v>820.8</v>
      </c>
      <c r="J424" s="39" t="n">
        <v>45722</v>
      </c>
      <c r="K424" t="inlineStr">
        <is>
          <t>MO</t>
        </is>
      </c>
      <c r="L424" t="inlineStr">
        <is>
          <t>PIX: 31971706400</t>
        </is>
      </c>
      <c r="N424">
        <f>IF(F424="","NÃO","SIM")</f>
        <v/>
      </c>
      <c r="O424">
        <f>IF($B424=5,"SIM","")</f>
        <v/>
      </c>
      <c r="P424" s="81">
        <f>A424&amp;B424&amp;C424&amp;E424&amp;G424&amp;EDATE(J424,0)</f>
        <v/>
      </c>
      <c r="Q424" s="71">
        <f>IF(A424=0,"",VLOOKUP($A424,RESUMO!$A$8:$B$83,2,FALSE))</f>
        <v/>
      </c>
    </row>
    <row r="425">
      <c r="A425" s="39" t="n">
        <v>45721</v>
      </c>
      <c r="B425" s="53" t="n">
        <v>1</v>
      </c>
      <c r="C425" t="inlineStr">
        <is>
          <t>85086894387</t>
        </is>
      </c>
      <c r="D425" t="inlineStr">
        <is>
          <t>ROBERVAL PORTACIO DOS SANTOS</t>
        </is>
      </c>
      <c r="E425" t="inlineStr">
        <is>
          <t>CAFÉ</t>
        </is>
      </c>
      <c r="G425" s="64" t="n">
        <v>6</v>
      </c>
      <c r="H425" t="n">
        <v>19</v>
      </c>
      <c r="I425" s="64" t="n">
        <v>114</v>
      </c>
      <c r="J425" s="39" t="n">
        <v>45722</v>
      </c>
      <c r="K425" t="inlineStr">
        <is>
          <t>MO</t>
        </is>
      </c>
      <c r="L425" t="inlineStr">
        <is>
          <t>PIX: 31971706400</t>
        </is>
      </c>
      <c r="N425">
        <f>IF(F425="","NÃO","SIM")</f>
        <v/>
      </c>
      <c r="O425">
        <f>IF($B425=5,"SIM","")</f>
        <v/>
      </c>
      <c r="P425" s="81">
        <f>A425&amp;B425&amp;C425&amp;E425&amp;G425&amp;EDATE(J425,0)</f>
        <v/>
      </c>
      <c r="Q425" s="71">
        <f>IF(A425=0,"",VLOOKUP($A425,RESUMO!$A$8:$B$83,2,FALSE))</f>
        <v/>
      </c>
    </row>
    <row r="426">
      <c r="A426" s="39" t="n">
        <v>45721</v>
      </c>
      <c r="B426" s="53" t="n">
        <v>1</v>
      </c>
      <c r="C426" t="inlineStr">
        <is>
          <t>87942119653</t>
        </is>
      </c>
      <c r="D426" t="inlineStr">
        <is>
          <t>DOMINGOS DA SILVA LIMA</t>
        </is>
      </c>
      <c r="E426" t="inlineStr">
        <is>
          <t>SALÁRIO</t>
        </is>
      </c>
      <c r="G426" s="64" t="n">
        <v>880.08</v>
      </c>
      <c r="H426" t="n">
        <v>1</v>
      </c>
      <c r="I426" s="64" t="n">
        <v>880.08</v>
      </c>
      <c r="J426" s="39" t="n">
        <v>45722</v>
      </c>
      <c r="K426" t="inlineStr">
        <is>
          <t>MO</t>
        </is>
      </c>
      <c r="L426" t="inlineStr">
        <is>
          <t>CAIXA 13 - 892 00113057-1</t>
        </is>
      </c>
      <c r="N426">
        <f>IF(F426="","NÃO","SIM")</f>
        <v/>
      </c>
      <c r="O426">
        <f>IF($B426=5,"SIM","")</f>
        <v/>
      </c>
      <c r="P426" s="81">
        <f>A426&amp;B426&amp;C426&amp;E426&amp;G426&amp;EDATE(J426,0)</f>
        <v/>
      </c>
      <c r="Q426" s="71">
        <f>IF(A426=0,"",VLOOKUP($A426,RESUMO!$A$8:$B$83,2,FALSE))</f>
        <v/>
      </c>
    </row>
    <row r="427">
      <c r="A427" s="39" t="n">
        <v>45721</v>
      </c>
      <c r="B427" s="53" t="n">
        <v>1</v>
      </c>
      <c r="C427" t="inlineStr">
        <is>
          <t>87942119653</t>
        </is>
      </c>
      <c r="D427" t="inlineStr">
        <is>
          <t>DOMINGOS DA SILVA LIMA</t>
        </is>
      </c>
      <c r="E427" t="inlineStr">
        <is>
          <t>TRANSPORTE</t>
        </is>
      </c>
      <c r="G427" s="64" t="n">
        <v>43.2</v>
      </c>
      <c r="H427" t="n">
        <v>21</v>
      </c>
      <c r="I427" s="64" t="n">
        <v>907.2</v>
      </c>
      <c r="J427" s="39" t="n">
        <v>45722</v>
      </c>
      <c r="K427" t="inlineStr">
        <is>
          <t>MO</t>
        </is>
      </c>
      <c r="L427" t="inlineStr">
        <is>
          <t>CAIXA 13 - 892 00113057-1</t>
        </is>
      </c>
      <c r="N427">
        <f>IF(F427="","NÃO","SIM")</f>
        <v/>
      </c>
      <c r="O427">
        <f>IF($B427=5,"SIM","")</f>
        <v/>
      </c>
      <c r="P427" s="81">
        <f>A427&amp;B427&amp;C427&amp;E427&amp;G427&amp;EDATE(J427,0)</f>
        <v/>
      </c>
      <c r="Q427" s="71">
        <f>IF(A427=0,"",VLOOKUP($A427,RESUMO!$A$8:$B$83,2,FALSE))</f>
        <v/>
      </c>
    </row>
    <row r="428">
      <c r="A428" s="39" t="n">
        <v>45721</v>
      </c>
      <c r="B428" s="53" t="n">
        <v>1</v>
      </c>
      <c r="C428" t="inlineStr">
        <is>
          <t>87942119653</t>
        </is>
      </c>
      <c r="D428" t="inlineStr">
        <is>
          <t>DOMINGOS DA SILVA LIMA</t>
        </is>
      </c>
      <c r="E428" t="inlineStr">
        <is>
          <t>CAFÉ</t>
        </is>
      </c>
      <c r="G428" s="64" t="n">
        <v>6</v>
      </c>
      <c r="H428" t="n">
        <v>21</v>
      </c>
      <c r="I428" s="64" t="n">
        <v>126</v>
      </c>
      <c r="J428" s="39" t="n">
        <v>45722</v>
      </c>
      <c r="K428" t="inlineStr">
        <is>
          <t>MO</t>
        </is>
      </c>
      <c r="L428" t="inlineStr">
        <is>
          <t>CAIXA 13 - 892 00113057-1</t>
        </is>
      </c>
      <c r="N428">
        <f>IF(F428="","NÃO","SIM")</f>
        <v/>
      </c>
      <c r="O428">
        <f>IF($B428=5,"SIM","")</f>
        <v/>
      </c>
      <c r="P428" s="81">
        <f>A428&amp;B428&amp;C428&amp;E428&amp;G428&amp;EDATE(J428,0)</f>
        <v/>
      </c>
      <c r="Q428" s="71">
        <f>IF(A428=0,"",VLOOKUP($A428,RESUMO!$A$8:$B$83,2,FALSE))</f>
        <v/>
      </c>
    </row>
    <row r="429">
      <c r="A429" s="39" t="n">
        <v>45721</v>
      </c>
      <c r="B429" s="53" t="n">
        <v>1</v>
      </c>
      <c r="C429" t="inlineStr">
        <is>
          <t>75746980315</t>
        </is>
      </c>
      <c r="D429" t="inlineStr">
        <is>
          <t>FRANCISCO REGO DA SILVA</t>
        </is>
      </c>
      <c r="E429" t="inlineStr">
        <is>
          <t>SALÁRIO</t>
        </is>
      </c>
      <c r="G429" s="64" t="n">
        <v>1271.76</v>
      </c>
      <c r="H429" t="n">
        <v>1</v>
      </c>
      <c r="I429" s="64" t="n">
        <v>1271.76</v>
      </c>
      <c r="J429" s="39" t="n">
        <v>45722</v>
      </c>
      <c r="K429" t="inlineStr">
        <is>
          <t>MO</t>
        </is>
      </c>
      <c r="L429" t="inlineStr">
        <is>
          <t>PIX: 75746980315</t>
        </is>
      </c>
      <c r="N429">
        <f>IF(F429="","NÃO","SIM")</f>
        <v/>
      </c>
      <c r="O429">
        <f>IF($B429=5,"SIM","")</f>
        <v/>
      </c>
      <c r="P429" s="81">
        <f>A429&amp;B429&amp;C429&amp;E429&amp;G429&amp;EDATE(J429,0)</f>
        <v/>
      </c>
      <c r="Q429" s="71">
        <f>IF(A429=0,"",VLOOKUP($A429,RESUMO!$A$8:$B$83,2,FALSE))</f>
        <v/>
      </c>
    </row>
    <row r="430">
      <c r="A430" s="39" t="n">
        <v>45721</v>
      </c>
      <c r="B430" s="53" t="n">
        <v>1</v>
      </c>
      <c r="C430" t="inlineStr">
        <is>
          <t>75746980315</t>
        </is>
      </c>
      <c r="D430" t="inlineStr">
        <is>
          <t>FRANCISCO REGO DA SILVA</t>
        </is>
      </c>
      <c r="E430" t="inlineStr">
        <is>
          <t>TRANSPORTE</t>
        </is>
      </c>
      <c r="G430" s="64" t="n">
        <v>43.2</v>
      </c>
      <c r="H430" t="n">
        <v>21</v>
      </c>
      <c r="I430" s="64" t="n">
        <v>907.2</v>
      </c>
      <c r="J430" s="39" t="n">
        <v>45722</v>
      </c>
      <c r="K430" t="inlineStr">
        <is>
          <t>MO</t>
        </is>
      </c>
      <c r="L430" t="inlineStr">
        <is>
          <t>PIX: 75746980315</t>
        </is>
      </c>
      <c r="N430">
        <f>IF(F430="","NÃO","SIM")</f>
        <v/>
      </c>
      <c r="O430">
        <f>IF($B430=5,"SIM","")</f>
        <v/>
      </c>
      <c r="P430" s="81">
        <f>A430&amp;B430&amp;C430&amp;E430&amp;G430&amp;EDATE(J430,0)</f>
        <v/>
      </c>
      <c r="Q430" s="71">
        <f>IF(A430=0,"",VLOOKUP($A430,RESUMO!$A$8:$B$83,2,FALSE))</f>
        <v/>
      </c>
    </row>
    <row r="431">
      <c r="A431" s="39" t="n">
        <v>45721</v>
      </c>
      <c r="B431" s="53" t="n">
        <v>1</v>
      </c>
      <c r="C431" t="inlineStr">
        <is>
          <t>75746980315</t>
        </is>
      </c>
      <c r="D431" t="inlineStr">
        <is>
          <t>FRANCISCO REGO DA SILVA</t>
        </is>
      </c>
      <c r="E431" t="inlineStr">
        <is>
          <t>CAFÉ</t>
        </is>
      </c>
      <c r="G431" s="64" t="n">
        <v>6</v>
      </c>
      <c r="H431" t="n">
        <v>21</v>
      </c>
      <c r="I431" s="64" t="n">
        <v>126</v>
      </c>
      <c r="J431" s="39" t="n">
        <v>45722</v>
      </c>
      <c r="K431" t="inlineStr">
        <is>
          <t>MO</t>
        </is>
      </c>
      <c r="L431" t="inlineStr">
        <is>
          <t>PIX: 75746980315</t>
        </is>
      </c>
      <c r="N431">
        <f>IF(F431="","NÃO","SIM")</f>
        <v/>
      </c>
      <c r="O431">
        <f>IF($B431=5,"SIM","")</f>
        <v/>
      </c>
      <c r="P431" s="81">
        <f>A431&amp;B431&amp;C431&amp;E431&amp;G431&amp;EDATE(J431,0)</f>
        <v/>
      </c>
      <c r="Q431" s="71">
        <f>IF(A431=0,"",VLOOKUP($A431,RESUMO!$A$8:$B$83,2,FALSE))</f>
        <v/>
      </c>
    </row>
    <row r="432">
      <c r="A432" s="39" t="n">
        <v>45721</v>
      </c>
      <c r="B432" s="53" t="n">
        <v>1</v>
      </c>
      <c r="C432" t="inlineStr">
        <is>
          <t>01980098603</t>
        </is>
      </c>
      <c r="D432" t="inlineStr">
        <is>
          <t>LUCAS CATALUNHA DA SILVA</t>
        </is>
      </c>
      <c r="E432" t="inlineStr">
        <is>
          <t>SALÁRIO</t>
        </is>
      </c>
      <c r="G432" s="64" t="n">
        <v>880.08</v>
      </c>
      <c r="H432" t="n">
        <v>1</v>
      </c>
      <c r="I432" s="64" t="n">
        <v>880.08</v>
      </c>
      <c r="J432" s="39" t="n">
        <v>45722</v>
      </c>
      <c r="K432" t="inlineStr">
        <is>
          <t>MO</t>
        </is>
      </c>
      <c r="L432" t="inlineStr">
        <is>
          <t>PIX: 01980098603</t>
        </is>
      </c>
      <c r="N432">
        <f>IF(F432="","NÃO","SIM")</f>
        <v/>
      </c>
      <c r="O432">
        <f>IF($B432=5,"SIM","")</f>
        <v/>
      </c>
      <c r="P432" s="81">
        <f>A432&amp;B432&amp;C432&amp;E432&amp;G432&amp;EDATE(J432,0)</f>
        <v/>
      </c>
      <c r="Q432" s="71">
        <f>IF(A432=0,"",VLOOKUP($A432,RESUMO!$A$8:$B$83,2,FALSE))</f>
        <v/>
      </c>
    </row>
    <row r="433">
      <c r="A433" s="39" t="n">
        <v>45721</v>
      </c>
      <c r="B433" s="53" t="n">
        <v>1</v>
      </c>
      <c r="C433" t="inlineStr">
        <is>
          <t>01980098603</t>
        </is>
      </c>
      <c r="D433" t="inlineStr">
        <is>
          <t>LUCAS CATALUNHA DA SILVA</t>
        </is>
      </c>
      <c r="E433" t="inlineStr">
        <is>
          <t>TRANSPORTE</t>
        </is>
      </c>
      <c r="G433" s="64" t="n">
        <v>43.2</v>
      </c>
      <c r="H433" t="n">
        <v>21</v>
      </c>
      <c r="I433" s="64" t="n">
        <v>907.2</v>
      </c>
      <c r="J433" s="39" t="n">
        <v>45722</v>
      </c>
      <c r="K433" t="inlineStr">
        <is>
          <t>MO</t>
        </is>
      </c>
      <c r="L433" t="inlineStr">
        <is>
          <t>PIX: 01980098603</t>
        </is>
      </c>
      <c r="N433">
        <f>IF(F433="","NÃO","SIM")</f>
        <v/>
      </c>
      <c r="O433">
        <f>IF($B433=5,"SIM","")</f>
        <v/>
      </c>
      <c r="P433" s="81">
        <f>A433&amp;B433&amp;C433&amp;E433&amp;G433&amp;EDATE(J433,0)</f>
        <v/>
      </c>
      <c r="Q433" s="71">
        <f>IF(A433=0,"",VLOOKUP($A433,RESUMO!$A$8:$B$83,2,FALSE))</f>
        <v/>
      </c>
    </row>
    <row r="434">
      <c r="A434" s="39" t="n">
        <v>45721</v>
      </c>
      <c r="B434" s="53" t="n">
        <v>1</v>
      </c>
      <c r="C434" t="inlineStr">
        <is>
          <t>01980098603</t>
        </is>
      </c>
      <c r="D434" t="inlineStr">
        <is>
          <t>LUCAS CATALUNHA DA SILVA</t>
        </is>
      </c>
      <c r="E434" t="inlineStr">
        <is>
          <t>CAFÉ</t>
        </is>
      </c>
      <c r="G434" s="64" t="n">
        <v>6</v>
      </c>
      <c r="H434" t="n">
        <v>21</v>
      </c>
      <c r="I434" s="64" t="n">
        <v>126</v>
      </c>
      <c r="J434" s="39" t="n">
        <v>45722</v>
      </c>
      <c r="K434" t="inlineStr">
        <is>
          <t>MO</t>
        </is>
      </c>
      <c r="L434" t="inlineStr">
        <is>
          <t>PIX: 01980098603</t>
        </is>
      </c>
      <c r="N434">
        <f>IF(F434="","NÃO","SIM")</f>
        <v/>
      </c>
      <c r="O434">
        <f>IF($B434=5,"SIM","")</f>
        <v/>
      </c>
      <c r="P434" s="81">
        <f>A434&amp;B434&amp;C434&amp;E434&amp;G434&amp;EDATE(J434,0)</f>
        <v/>
      </c>
      <c r="Q434" s="71">
        <f>IF(A434=0,"",VLOOKUP($A434,RESUMO!$A$8:$B$83,2,FALSE))</f>
        <v/>
      </c>
    </row>
    <row r="435">
      <c r="A435" s="39" t="n">
        <v>45721</v>
      </c>
      <c r="B435" s="53" t="n">
        <v>1</v>
      </c>
      <c r="C435" t="inlineStr">
        <is>
          <t>00000012793</t>
        </is>
      </c>
      <c r="D435" t="inlineStr">
        <is>
          <t>BRUNO RODRIGUES DOS SANTOS</t>
        </is>
      </c>
      <c r="E435" t="inlineStr">
        <is>
          <t>SALÁRIO</t>
        </is>
      </c>
      <c r="G435" s="64" t="n">
        <v>1112.64</v>
      </c>
      <c r="H435" t="n">
        <v>1</v>
      </c>
      <c r="I435" s="64" t="n">
        <v>1112.64</v>
      </c>
      <c r="J435" s="39" t="n">
        <v>45722</v>
      </c>
      <c r="K435" t="inlineStr">
        <is>
          <t>MO</t>
        </is>
      </c>
      <c r="L435" t="inlineStr">
        <is>
          <t>PIX: 31999187222</t>
        </is>
      </c>
      <c r="N435">
        <f>IF(F435="","NÃO","SIM")</f>
        <v/>
      </c>
      <c r="O435">
        <f>IF($B435=5,"SIM","")</f>
        <v/>
      </c>
      <c r="P435" s="81">
        <f>A435&amp;B435&amp;C435&amp;E435&amp;G435&amp;EDATE(J435,0)</f>
        <v/>
      </c>
      <c r="Q435" s="71">
        <f>IF(A435=0,"",VLOOKUP($A435,RESUMO!$A$8:$B$83,2,FALSE))</f>
        <v/>
      </c>
    </row>
    <row r="436">
      <c r="A436" s="39" t="n">
        <v>45721</v>
      </c>
      <c r="B436" s="53" t="n">
        <v>1</v>
      </c>
      <c r="C436" t="inlineStr">
        <is>
          <t>00000012793</t>
        </is>
      </c>
      <c r="D436" t="inlineStr">
        <is>
          <t>BRUNO RODRIGUES DOS SANTOS</t>
        </is>
      </c>
      <c r="E436" t="inlineStr">
        <is>
          <t>TRANSPORTE</t>
        </is>
      </c>
      <c r="G436" s="64" t="n">
        <v>44</v>
      </c>
      <c r="H436" t="n">
        <v>20</v>
      </c>
      <c r="I436" s="64" t="n">
        <v>880</v>
      </c>
      <c r="J436" s="39" t="n">
        <v>45722</v>
      </c>
      <c r="K436" t="inlineStr">
        <is>
          <t>MO</t>
        </is>
      </c>
      <c r="L436" t="inlineStr">
        <is>
          <t>PIX: 31999187222</t>
        </is>
      </c>
      <c r="N436">
        <f>IF(F436="","NÃO","SIM")</f>
        <v/>
      </c>
      <c r="O436">
        <f>IF($B436=5,"SIM","")</f>
        <v/>
      </c>
      <c r="P436" s="81">
        <f>A436&amp;B436&amp;C436&amp;E436&amp;G436&amp;EDATE(J436,0)</f>
        <v/>
      </c>
      <c r="Q436" s="71">
        <f>IF(A436=0,"",VLOOKUP($A436,RESUMO!$A$8:$B$83,2,FALSE))</f>
        <v/>
      </c>
    </row>
    <row r="437">
      <c r="A437" s="39" t="n">
        <v>45721</v>
      </c>
      <c r="B437" s="53" t="n">
        <v>1</v>
      </c>
      <c r="C437" t="inlineStr">
        <is>
          <t>00000012793</t>
        </is>
      </c>
      <c r="D437" t="inlineStr">
        <is>
          <t>BRUNO RODRIGUES DOS SANTOS</t>
        </is>
      </c>
      <c r="E437" t="inlineStr">
        <is>
          <t>CAFÉ</t>
        </is>
      </c>
      <c r="G437" s="64" t="n">
        <v>6</v>
      </c>
      <c r="H437" t="n">
        <v>20</v>
      </c>
      <c r="I437" s="64" t="n">
        <v>120</v>
      </c>
      <c r="J437" s="39" t="n">
        <v>45722</v>
      </c>
      <c r="K437" t="inlineStr">
        <is>
          <t>MO</t>
        </is>
      </c>
      <c r="L437" t="inlineStr">
        <is>
          <t>PIX: 31999187222</t>
        </is>
      </c>
      <c r="N437">
        <f>IF(F437="","NÃO","SIM")</f>
        <v/>
      </c>
      <c r="O437">
        <f>IF($B437=5,"SIM","")</f>
        <v/>
      </c>
      <c r="P437" s="81">
        <f>A437&amp;B437&amp;C437&amp;E437&amp;G437&amp;EDATE(J437,0)</f>
        <v/>
      </c>
      <c r="Q437" s="71">
        <f>IF(A437=0,"",VLOOKUP($A437,RESUMO!$A$8:$B$83,2,FALSE))</f>
        <v/>
      </c>
    </row>
    <row r="438">
      <c r="A438" s="39" t="n">
        <v>45721</v>
      </c>
      <c r="B438" s="53" t="n">
        <v>1</v>
      </c>
      <c r="C438" t="inlineStr">
        <is>
          <t>02038736375</t>
        </is>
      </c>
      <c r="D438" t="inlineStr">
        <is>
          <t>MARCELO FERNANDES DE ALMEIDA</t>
        </is>
      </c>
      <c r="E438" t="inlineStr">
        <is>
          <t>SALÁRIO</t>
        </is>
      </c>
      <c r="G438" s="64" t="n">
        <v>89.11</v>
      </c>
      <c r="H438" t="n">
        <v>1</v>
      </c>
      <c r="I438" s="64" t="n">
        <v>89.11</v>
      </c>
      <c r="J438" s="39" t="n">
        <v>45722</v>
      </c>
      <c r="K438" t="inlineStr">
        <is>
          <t>MO</t>
        </is>
      </c>
      <c r="L438" t="inlineStr">
        <is>
          <t>PIX: 31 994629438</t>
        </is>
      </c>
      <c r="N438">
        <f>IF(F438="","NÃO","SIM")</f>
        <v/>
      </c>
      <c r="O438">
        <f>IF($B438=5,"SIM","")</f>
        <v/>
      </c>
      <c r="P438" s="81">
        <f>A438&amp;B438&amp;C438&amp;E438&amp;G438&amp;EDATE(J438,0)</f>
        <v/>
      </c>
      <c r="Q438" s="71">
        <f>IF(A438=0,"",VLOOKUP($A438,RESUMO!$A$8:$B$83,2,FALSE))</f>
        <v/>
      </c>
    </row>
    <row r="439">
      <c r="A439" s="39" t="n">
        <v>45721</v>
      </c>
      <c r="B439" s="53" t="n">
        <v>1</v>
      </c>
      <c r="C439" t="inlineStr">
        <is>
          <t>02038736375</t>
        </is>
      </c>
      <c r="D439" t="inlineStr">
        <is>
          <t>MARCELO FERNANDES DE ALMEIDA</t>
        </is>
      </c>
      <c r="E439" t="inlineStr">
        <is>
          <t>TRANSPORTE</t>
        </is>
      </c>
      <c r="G439" s="64" t="n">
        <v>45.7</v>
      </c>
      <c r="H439" t="n">
        <v>22</v>
      </c>
      <c r="I439" s="64" t="n">
        <v>1005.4</v>
      </c>
      <c r="J439" s="39" t="n">
        <v>45722</v>
      </c>
      <c r="K439" t="inlineStr">
        <is>
          <t>MO</t>
        </is>
      </c>
      <c r="L439" t="inlineStr">
        <is>
          <t>PIX: 31 994629438</t>
        </is>
      </c>
      <c r="N439">
        <f>IF(F439="","NÃO","SIM")</f>
        <v/>
      </c>
      <c r="O439">
        <f>IF($B439=5,"SIM","")</f>
        <v/>
      </c>
      <c r="P439" s="81">
        <f>A439&amp;B439&amp;C439&amp;E439&amp;G439&amp;EDATE(J439,0)</f>
        <v/>
      </c>
      <c r="Q439" s="71">
        <f>IF(A439=0,"",VLOOKUP($A439,RESUMO!$A$8:$B$83,2,FALSE))</f>
        <v/>
      </c>
    </row>
    <row r="440">
      <c r="A440" s="39" t="n">
        <v>45721</v>
      </c>
      <c r="B440" s="53" t="n">
        <v>1</v>
      </c>
      <c r="C440" t="inlineStr">
        <is>
          <t>02038736375</t>
        </is>
      </c>
      <c r="D440" t="inlineStr">
        <is>
          <t>MARCELO FERNANDES DE ALMEIDA</t>
        </is>
      </c>
      <c r="E440" t="inlineStr">
        <is>
          <t>CAFÉ</t>
        </is>
      </c>
      <c r="G440" s="64" t="n">
        <v>6</v>
      </c>
      <c r="H440" t="n">
        <v>22</v>
      </c>
      <c r="I440" s="64" t="n">
        <v>132</v>
      </c>
      <c r="J440" s="39" t="n">
        <v>45722</v>
      </c>
      <c r="K440" t="inlineStr">
        <is>
          <t>MO</t>
        </is>
      </c>
      <c r="L440" t="inlineStr">
        <is>
          <t>PIX: 31 994629438</t>
        </is>
      </c>
      <c r="N440">
        <f>IF(F440="","NÃO","SIM")</f>
        <v/>
      </c>
      <c r="O440">
        <f>IF($B440=5,"SIM","")</f>
        <v/>
      </c>
      <c r="P440" s="81">
        <f>A440&amp;B440&amp;C440&amp;E440&amp;G440&amp;EDATE(J440,0)</f>
        <v/>
      </c>
      <c r="Q440" s="71">
        <f>IF(A440=0,"",VLOOKUP($A440,RESUMO!$A$8:$B$83,2,FALSE))</f>
        <v/>
      </c>
    </row>
    <row r="441">
      <c r="A441" s="39" t="n">
        <v>45721</v>
      </c>
      <c r="B441" s="53" t="n">
        <v>2</v>
      </c>
      <c r="C441" t="inlineStr">
        <is>
          <t>37052904870</t>
        </is>
      </c>
      <c r="D441" t="inlineStr">
        <is>
          <t>VR AREIA E BRITA</t>
        </is>
      </c>
      <c r="E441" t="inlineStr">
        <is>
          <t xml:space="preserve">8,5 DIÁRIAS DE BOBCAT E MOB. E DESMOB. DE MAQUINA
</t>
        </is>
      </c>
      <c r="G441" s="64" t="n">
        <v>12855</v>
      </c>
      <c r="H441" t="n">
        <v>1</v>
      </c>
      <c r="I441" s="64" t="n">
        <v>12855</v>
      </c>
      <c r="J441" s="39" t="n">
        <v>45722</v>
      </c>
      <c r="K441" t="inlineStr">
        <is>
          <t>MAT</t>
        </is>
      </c>
      <c r="L441" t="inlineStr">
        <is>
          <t>C6 BANK - 0001 - 19363893 - 37052904870</t>
        </is>
      </c>
      <c r="N441">
        <f>IF(F441="","NÃO","SIM")</f>
        <v/>
      </c>
      <c r="O441">
        <f>IF($B441=5,"SIM","")</f>
        <v/>
      </c>
      <c r="P441" s="81">
        <f>A441&amp;B441&amp;C441&amp;E441&amp;G441&amp;EDATE(J441,0)</f>
        <v/>
      </c>
      <c r="Q441" s="71">
        <f>IF(A441=0,"",VLOOKUP($A441,RESUMO!$A$8:$B$83,2,FALSE))</f>
        <v/>
      </c>
    </row>
    <row r="442">
      <c r="A442" s="39" t="n">
        <v>45721</v>
      </c>
      <c r="B442" s="53" t="n">
        <v>2</v>
      </c>
      <c r="C442" t="inlineStr">
        <is>
          <t>37057699000136</t>
        </is>
      </c>
      <c r="D442" t="inlineStr">
        <is>
          <t>GUELBERT LEANDRO PINTO ROSA LEANDRO</t>
        </is>
      </c>
      <c r="E442" t="inlineStr">
        <is>
          <t>RETIRADA AR CONDICIONADO</t>
        </is>
      </c>
      <c r="F442" t="inlineStr">
        <is>
          <t>31</t>
        </is>
      </c>
      <c r="G442" s="64" t="n">
        <v>862.5</v>
      </c>
      <c r="H442" t="n">
        <v>1</v>
      </c>
      <c r="I442" s="64" t="n">
        <v>862.5</v>
      </c>
      <c r="J442" s="39" t="n">
        <v>45722</v>
      </c>
      <c r="K442" t="inlineStr">
        <is>
          <t>SERV</t>
        </is>
      </c>
      <c r="L442" t="inlineStr">
        <is>
          <t>-</t>
        </is>
      </c>
      <c r="N442">
        <f>IF(F442="","NÃO","SIM")</f>
        <v/>
      </c>
      <c r="O442">
        <f>IF($B442=5,"SIM","")</f>
        <v/>
      </c>
      <c r="P442" s="81">
        <f>A442&amp;B442&amp;C442&amp;E442&amp;G442&amp;EDATE(J442,0)</f>
        <v/>
      </c>
      <c r="Q442" s="71">
        <f>IF(A442=0,"",VLOOKUP($A442,RESUMO!$A$8:$B$83,2,FALSE))</f>
        <v/>
      </c>
    </row>
    <row r="443">
      <c r="A443" s="39" t="n">
        <v>45721</v>
      </c>
      <c r="B443" s="53" t="n">
        <v>3</v>
      </c>
      <c r="C443" t="inlineStr">
        <is>
          <t>00000011126</t>
        </is>
      </c>
      <c r="D443" t="inlineStr">
        <is>
          <t>MHS MENSALIDADE</t>
        </is>
      </c>
      <c r="E443" t="inlineStr">
        <is>
          <t>REF. 02/2025</t>
        </is>
      </c>
      <c r="G443" s="64" t="n">
        <v>744</v>
      </c>
      <c r="H443" t="n">
        <v>1</v>
      </c>
      <c r="I443" s="64" t="n">
        <v>744</v>
      </c>
      <c r="J443" s="39" t="n">
        <v>45723</v>
      </c>
      <c r="K443" t="inlineStr">
        <is>
          <t>MO</t>
        </is>
      </c>
      <c r="L443" t="inlineStr">
        <is>
          <t>PIX: 31995901635</t>
        </is>
      </c>
      <c r="N443">
        <f>IF(F443="","NÃO","SIM")</f>
        <v/>
      </c>
      <c r="O443">
        <f>IF($B443=5,"SIM","")</f>
        <v/>
      </c>
      <c r="P443" s="81">
        <f>A443&amp;B443&amp;C443&amp;E443&amp;G443&amp;EDATE(J443,0)</f>
        <v/>
      </c>
      <c r="Q443" s="71">
        <f>IF(A443=0,"",VLOOKUP($A443,RESUMO!$A$8:$B$83,2,FALSE))</f>
        <v/>
      </c>
    </row>
    <row r="444">
      <c r="A444" s="39" t="n">
        <v>45721</v>
      </c>
      <c r="B444" s="53" t="n">
        <v>3</v>
      </c>
      <c r="C444" t="inlineStr">
        <is>
          <t>00000011207</t>
        </is>
      </c>
      <c r="D444" t="inlineStr">
        <is>
          <t>MOTOBOY</t>
        </is>
      </c>
      <c r="E444" t="inlineStr">
        <is>
          <t>REF. 02/2025</t>
        </is>
      </c>
      <c r="G444" s="64" t="n">
        <v>146</v>
      </c>
      <c r="H444" t="n">
        <v>1</v>
      </c>
      <c r="I444" s="64" t="n">
        <v>146</v>
      </c>
      <c r="J444" s="39" t="n">
        <v>45723</v>
      </c>
      <c r="K444" t="inlineStr">
        <is>
          <t>DIV</t>
        </is>
      </c>
      <c r="L444" t="inlineStr">
        <is>
          <t>PIX: 31995901635</t>
        </is>
      </c>
      <c r="N444">
        <f>IF(F444="","NÃO","SIM")</f>
        <v/>
      </c>
      <c r="O444">
        <f>IF($B444=5,"SIM","")</f>
        <v/>
      </c>
      <c r="P444" s="81">
        <f>A444&amp;B444&amp;C444&amp;E444&amp;G444&amp;EDATE(J444,0)</f>
        <v/>
      </c>
      <c r="Q444" s="71">
        <f>IF(A444=0,"",VLOOKUP($A444,RESUMO!$A$8:$B$83,2,FALSE))</f>
        <v/>
      </c>
    </row>
    <row r="445">
      <c r="A445" s="39" t="n">
        <v>45721</v>
      </c>
      <c r="B445" s="53" t="n">
        <v>3</v>
      </c>
      <c r="C445" t="inlineStr">
        <is>
          <t>00000011398</t>
        </is>
      </c>
      <c r="D445" t="inlineStr">
        <is>
          <t>FOLHA DP</t>
        </is>
      </c>
      <c r="E445" t="inlineStr">
        <is>
          <t>REF. 02/2025</t>
        </is>
      </c>
      <c r="G445" s="64" t="n">
        <v>910.8</v>
      </c>
      <c r="H445" t="n">
        <v>1</v>
      </c>
      <c r="I445" s="64" t="n">
        <v>910.8</v>
      </c>
      <c r="J445" s="39" t="n">
        <v>45723</v>
      </c>
      <c r="K445" t="inlineStr">
        <is>
          <t>MO</t>
        </is>
      </c>
      <c r="L445" t="inlineStr">
        <is>
          <t>PIX: 31995901635</t>
        </is>
      </c>
      <c r="N445">
        <f>IF(F445="","NÃO","SIM")</f>
        <v/>
      </c>
      <c r="O445">
        <f>IF($B445=5,"SIM","")</f>
        <v/>
      </c>
      <c r="P445" s="81">
        <f>A445&amp;B445&amp;C445&amp;E445&amp;G445&amp;EDATE(J445,0)</f>
        <v/>
      </c>
      <c r="Q445" s="71">
        <f>IF(A445=0,"",VLOOKUP($A445,RESUMO!$A$8:$B$83,2,FALSE))</f>
        <v/>
      </c>
    </row>
    <row r="446">
      <c r="A446" s="39" t="n">
        <v>45721</v>
      </c>
      <c r="B446" s="53" t="n">
        <v>3</v>
      </c>
      <c r="C446" t="inlineStr">
        <is>
          <t>32392731000116</t>
        </is>
      </c>
      <c r="D446" t="inlineStr">
        <is>
          <t>DEPÓSITO 040</t>
        </is>
      </c>
      <c r="E446" t="inlineStr">
        <is>
          <t>MATERIAIS DIVERSOS</t>
        </is>
      </c>
      <c r="F446" t="inlineStr">
        <is>
          <t>1606</t>
        </is>
      </c>
      <c r="G446" s="64" t="n">
        <v>1529.8</v>
      </c>
      <c r="H446" t="n">
        <v>1</v>
      </c>
      <c r="I446" s="64" t="n">
        <v>1529.8</v>
      </c>
      <c r="J446" s="39" t="n">
        <v>45726</v>
      </c>
      <c r="K446" t="inlineStr">
        <is>
          <t>MAT</t>
        </is>
      </c>
      <c r="L446" t="inlineStr">
        <is>
          <t>-</t>
        </is>
      </c>
      <c r="N446">
        <f>IF(F446="","NÃO","SIM")</f>
        <v/>
      </c>
      <c r="O446">
        <f>IF($B446=5,"SIM","")</f>
        <v/>
      </c>
      <c r="P446" s="81">
        <f>A446&amp;B446&amp;C446&amp;E446&amp;G446&amp;EDATE(J446,0)</f>
        <v/>
      </c>
      <c r="Q446" s="71">
        <f>IF(A446=0,"",VLOOKUP($A446,RESUMO!$A$8:$B$83,2,FALSE))</f>
        <v/>
      </c>
    </row>
    <row r="447">
      <c r="A447" s="39" t="n">
        <v>45721</v>
      </c>
      <c r="B447" s="53" t="n">
        <v>3</v>
      </c>
      <c r="C447" t="inlineStr">
        <is>
          <t>07409393000130</t>
        </is>
      </c>
      <c r="D447" t="inlineStr">
        <is>
          <t>LOCFER</t>
        </is>
      </c>
      <c r="E447" t="inlineStr">
        <is>
          <t>MARTELETE E BETONEIRA</t>
        </is>
      </c>
      <c r="F447" t="inlineStr">
        <is>
          <t>27805</t>
        </is>
      </c>
      <c r="G447" s="64" t="n">
        <v>555</v>
      </c>
      <c r="H447" t="n">
        <v>1</v>
      </c>
      <c r="I447" s="64" t="n">
        <v>555</v>
      </c>
      <c r="J447" s="39" t="n">
        <v>45728</v>
      </c>
      <c r="K447" t="inlineStr">
        <is>
          <t>LOC</t>
        </is>
      </c>
      <c r="L447" t="inlineStr">
        <is>
          <t>-</t>
        </is>
      </c>
      <c r="N447">
        <f>IF(F447="","NÃO","SIM")</f>
        <v/>
      </c>
      <c r="O447">
        <f>IF($B447=5,"SIM","")</f>
        <v/>
      </c>
      <c r="P447" s="81">
        <f>A447&amp;B447&amp;C447&amp;E447&amp;G447&amp;EDATE(J447,0)</f>
        <v/>
      </c>
      <c r="Q447" s="71">
        <f>IF(A447=0,"",VLOOKUP($A447,RESUMO!$A$8:$B$83,2,FALSE))</f>
        <v/>
      </c>
    </row>
    <row r="448">
      <c r="A448" s="39" t="n">
        <v>45721</v>
      </c>
      <c r="B448" s="53" t="n">
        <v>3</v>
      </c>
      <c r="C448" t="inlineStr">
        <is>
          <t>17581836000634</t>
        </is>
      </c>
      <c r="D448" t="inlineStr">
        <is>
          <t>LOJA DO PAULO</t>
        </is>
      </c>
      <c r="E448" t="inlineStr">
        <is>
          <t>BROCAS E SIKADUR</t>
        </is>
      </c>
      <c r="F448" t="inlineStr">
        <is>
          <t>34640</t>
        </is>
      </c>
      <c r="G448" s="64" t="n">
        <v>1451.5</v>
      </c>
      <c r="H448" t="n">
        <v>1</v>
      </c>
      <c r="I448" s="64" t="n">
        <v>1451.5</v>
      </c>
      <c r="J448" s="39" t="n">
        <v>45734</v>
      </c>
      <c r="K448" t="inlineStr">
        <is>
          <t>MAT</t>
        </is>
      </c>
      <c r="L448" t="inlineStr">
        <is>
          <t>-</t>
        </is>
      </c>
      <c r="N448">
        <f>IF(F448="","NÃO","SIM")</f>
        <v/>
      </c>
      <c r="O448">
        <f>IF($B448=5,"SIM","")</f>
        <v/>
      </c>
      <c r="P448" s="81">
        <f>A448&amp;B448&amp;C448&amp;E448&amp;G448&amp;EDATE(J448,0)</f>
        <v/>
      </c>
      <c r="Q448" s="71">
        <f>IF(A448=0,"",VLOOKUP($A448,RESUMO!$A$8:$B$83,2,FALSE))</f>
        <v/>
      </c>
    </row>
    <row r="449">
      <c r="A449" s="39" t="n">
        <v>45721</v>
      </c>
      <c r="B449" s="53" t="n">
        <v>3</v>
      </c>
      <c r="C449" t="inlineStr">
        <is>
          <t>07409393000130</t>
        </is>
      </c>
      <c r="D449" t="inlineStr">
        <is>
          <t>LOCFER</t>
        </is>
      </c>
      <c r="E449" t="inlineStr">
        <is>
          <t>MARTELO</t>
        </is>
      </c>
      <c r="F449" t="inlineStr">
        <is>
          <t>27883</t>
        </is>
      </c>
      <c r="G449" s="64" t="n">
        <v>320</v>
      </c>
      <c r="H449" t="n">
        <v>1</v>
      </c>
      <c r="I449" s="64" t="n">
        <v>320</v>
      </c>
      <c r="J449" s="39" t="n">
        <v>45735</v>
      </c>
      <c r="K449" t="inlineStr">
        <is>
          <t>LOC</t>
        </is>
      </c>
      <c r="L449" t="inlineStr">
        <is>
          <t>-</t>
        </is>
      </c>
      <c r="N449">
        <f>IF(F449="","NÃO","SIM")</f>
        <v/>
      </c>
      <c r="O449">
        <f>IF($B449=5,"SIM","")</f>
        <v/>
      </c>
      <c r="P449" s="81">
        <f>A449&amp;B449&amp;C449&amp;E449&amp;G449&amp;EDATE(J449,0)</f>
        <v/>
      </c>
      <c r="Q449" s="71">
        <f>IF(A449=0,"",VLOOKUP($A449,RESUMO!$A$8:$B$83,2,FALSE))</f>
        <v/>
      </c>
    </row>
    <row r="450">
      <c r="A450" s="39" t="n">
        <v>45721</v>
      </c>
      <c r="B450" s="53" t="n">
        <v>4</v>
      </c>
      <c r="C450" t="inlineStr">
        <is>
          <t>27648990687</t>
        </is>
      </c>
      <c r="D450" t="inlineStr">
        <is>
          <t>ROGÉRIO VASCONCELOS SANTOS</t>
        </is>
      </c>
      <c r="E450" t="inlineStr">
        <is>
          <t xml:space="preserve">FRETE CORPO DE PROVA CONCRETAGEM
</t>
        </is>
      </c>
      <c r="G450" s="64" t="n">
        <v>20</v>
      </c>
      <c r="H450" t="n">
        <v>1</v>
      </c>
      <c r="I450" s="64" t="n">
        <v>20</v>
      </c>
      <c r="J450" s="39" t="n">
        <v>45705</v>
      </c>
      <c r="K450" t="inlineStr">
        <is>
          <t>MO</t>
        </is>
      </c>
      <c r="L450" t="inlineStr">
        <is>
          <t>PIX: 31995901635</t>
        </is>
      </c>
      <c r="N450">
        <f>IF(F450="","NÃO","SIM")</f>
        <v/>
      </c>
      <c r="O450">
        <f>IF($B450=5,"SIM","")</f>
        <v/>
      </c>
      <c r="P450" s="81">
        <f>A450&amp;B450&amp;C450&amp;E450&amp;G450&amp;EDATE(J450,0)</f>
        <v/>
      </c>
      <c r="Q450" s="71">
        <f>IF(A450=0,"",VLOOKUP($A450,RESUMO!$A$8:$B$83,2,FALSE))</f>
        <v/>
      </c>
    </row>
    <row r="451">
      <c r="A451" s="39" t="n">
        <v>45721</v>
      </c>
      <c r="B451" s="53" t="n">
        <v>5</v>
      </c>
      <c r="C451" t="inlineStr">
        <is>
          <t>97397491000198</t>
        </is>
      </c>
      <c r="D451" t="inlineStr">
        <is>
          <t>COMERCIAL ISO LTDA</t>
        </is>
      </c>
      <c r="E451" t="inlineStr">
        <is>
          <t>ESPAÇADOR</t>
        </is>
      </c>
      <c r="F451" t="inlineStr">
        <is>
          <t>63007</t>
        </is>
      </c>
      <c r="G451" s="64" t="n">
        <v>130</v>
      </c>
      <c r="H451" t="n">
        <v>1</v>
      </c>
      <c r="I451" s="64" t="n">
        <v>130</v>
      </c>
      <c r="J451" s="39" t="n">
        <v>45709</v>
      </c>
      <c r="K451" t="inlineStr">
        <is>
          <t>MAT</t>
        </is>
      </c>
      <c r="L451" t="inlineStr">
        <is>
          <t>-</t>
        </is>
      </c>
      <c r="N451">
        <f>IF(F451="","NÃO","SIM")</f>
        <v/>
      </c>
      <c r="O451">
        <f>IF($B451=5,"SIM","")</f>
        <v/>
      </c>
      <c r="P451" s="81">
        <f>A451&amp;B451&amp;C451&amp;E451&amp;G451&amp;EDATE(J451,0)</f>
        <v/>
      </c>
      <c r="Q451" s="71">
        <f>IF(A451=0,"",VLOOKUP($A451,RESUMO!$A$8:$B$83,2,FALSE))</f>
        <v/>
      </c>
    </row>
    <row r="452">
      <c r="A452" s="39" t="n">
        <v>45721</v>
      </c>
      <c r="B452" s="53" t="n">
        <v>5</v>
      </c>
      <c r="C452" t="inlineStr">
        <is>
          <t>05512402000270</t>
        </is>
      </c>
      <c r="D452" t="inlineStr">
        <is>
          <t>DIPROTEC</t>
        </is>
      </c>
      <c r="E452" t="inlineStr">
        <is>
          <t>EMCEKRETE</t>
        </is>
      </c>
      <c r="F452" t="inlineStr">
        <is>
          <t>62161</t>
        </is>
      </c>
      <c r="G452" s="64" t="n">
        <v>3042.5</v>
      </c>
      <c r="H452" t="n">
        <v>1</v>
      </c>
      <c r="I452" s="64" t="n">
        <v>3042.5</v>
      </c>
      <c r="J452" s="39" t="n">
        <v>45714</v>
      </c>
      <c r="K452" t="inlineStr">
        <is>
          <t>MAT</t>
        </is>
      </c>
      <c r="L452" t="inlineStr">
        <is>
          <t>-</t>
        </is>
      </c>
      <c r="N452">
        <f>IF(F452="","NÃO","SIM")</f>
        <v/>
      </c>
      <c r="O452">
        <f>IF($B452=5,"SIM","")</f>
        <v/>
      </c>
      <c r="P452" s="81">
        <f>A452&amp;B452&amp;C452&amp;E452&amp;G452&amp;EDATE(J452,0)</f>
        <v/>
      </c>
      <c r="Q452" s="71">
        <f>IF(A452=0,"",VLOOKUP($A452,RESUMO!$A$8:$B$83,2,FALSE))</f>
        <v/>
      </c>
    </row>
    <row r="453">
      <c r="A453" s="39" t="n">
        <v>45721</v>
      </c>
      <c r="B453" s="53" t="n">
        <v>5</v>
      </c>
      <c r="C453" t="inlineStr">
        <is>
          <t>17581836000634</t>
        </is>
      </c>
      <c r="D453" t="inlineStr">
        <is>
          <t>LOJA DO PAULO</t>
        </is>
      </c>
      <c r="E453" t="inlineStr">
        <is>
          <t>DISCO</t>
        </is>
      </c>
      <c r="G453" s="64" t="n">
        <v>180</v>
      </c>
      <c r="H453" t="n">
        <v>1</v>
      </c>
      <c r="I453" s="64" t="n">
        <v>180</v>
      </c>
      <c r="J453" s="39" t="n">
        <v>45716</v>
      </c>
      <c r="K453" t="inlineStr">
        <is>
          <t>MAT</t>
        </is>
      </c>
      <c r="L453" t="inlineStr">
        <is>
          <t>-</t>
        </is>
      </c>
      <c r="N453">
        <f>IF(F453="","NÃO","SIM")</f>
        <v/>
      </c>
      <c r="O453">
        <f>IF($B453=5,"SIM","")</f>
        <v/>
      </c>
      <c r="P453" s="81">
        <f>A453&amp;B453&amp;C453&amp;E453&amp;G453&amp;EDATE(J453,0)</f>
        <v/>
      </c>
      <c r="Q453" s="71">
        <f>IF(A453=0,"",VLOOKUP($A453,RESUMO!$A$8:$B$83,2,FALSE))</f>
        <v/>
      </c>
    </row>
    <row r="454">
      <c r="A454" s="39" t="n">
        <v>45721</v>
      </c>
      <c r="B454" s="53" t="n">
        <v>5</v>
      </c>
      <c r="C454" t="inlineStr">
        <is>
          <t>05512402000270</t>
        </is>
      </c>
      <c r="D454" t="inlineStr">
        <is>
          <t>DIPROTEC</t>
        </is>
      </c>
      <c r="E454" t="inlineStr">
        <is>
          <t>ADITIVO IMPERMEABILIZANTE - AGUARDANDO NF</t>
        </is>
      </c>
      <c r="G454" s="64" t="n">
        <v>17190</v>
      </c>
      <c r="H454" t="n">
        <v>1</v>
      </c>
      <c r="I454" s="64" t="n">
        <v>17190</v>
      </c>
      <c r="J454" s="39" t="n">
        <v>45716</v>
      </c>
      <c r="K454" t="inlineStr">
        <is>
          <t>MAT</t>
        </is>
      </c>
      <c r="L454" t="inlineStr">
        <is>
          <t>-</t>
        </is>
      </c>
      <c r="N454">
        <f>IF(F454="","NÃO","SIM")</f>
        <v/>
      </c>
      <c r="O454">
        <f>IF($B454=5,"SIM","")</f>
        <v/>
      </c>
      <c r="P454" s="81">
        <f>A454&amp;B454&amp;C454&amp;E454&amp;G454&amp;EDATE(J454,0)</f>
        <v/>
      </c>
      <c r="Q454" s="71">
        <f>IF(A454=0,"",VLOOKUP($A454,RESUMO!$A$8:$B$83,2,FALSE))</f>
        <v/>
      </c>
    </row>
    <row r="455">
      <c r="A455" s="39" t="n">
        <v>45721</v>
      </c>
      <c r="B455" s="53" t="n">
        <v>5</v>
      </c>
      <c r="C455" t="inlineStr">
        <is>
          <t>42841924000160</t>
        </is>
      </c>
      <c r="D455" t="inlineStr">
        <is>
          <t>FERRAGENS SANTA MONICA LTDA</t>
        </is>
      </c>
      <c r="E455" t="inlineStr">
        <is>
          <t>AÇO E PREGOS</t>
        </is>
      </c>
      <c r="G455" s="64" t="n">
        <v>6899.8</v>
      </c>
      <c r="H455" t="n">
        <v>1</v>
      </c>
      <c r="I455" s="64" t="n">
        <v>6899.8</v>
      </c>
      <c r="J455" s="39" t="n">
        <v>45716</v>
      </c>
      <c r="K455" t="inlineStr">
        <is>
          <t>MAT</t>
        </is>
      </c>
      <c r="L455" t="inlineStr">
        <is>
          <t>-</t>
        </is>
      </c>
      <c r="N455">
        <f>IF(F455="","NÃO","SIM")</f>
        <v/>
      </c>
      <c r="O455">
        <f>IF($B455=5,"SIM","")</f>
        <v/>
      </c>
      <c r="P455" s="81">
        <f>A455&amp;B455&amp;C455&amp;E455&amp;G455&amp;EDATE(J455,0)</f>
        <v/>
      </c>
      <c r="Q455" s="71">
        <f>IF(A455=0,"",VLOOKUP($A455,RESUMO!$A$8:$B$83,2,FALSE))</f>
        <v/>
      </c>
    </row>
    <row r="456">
      <c r="A456" s="39" t="n">
        <v>45721</v>
      </c>
      <c r="B456" t="n">
        <v>7</v>
      </c>
      <c r="C456" t="inlineStr">
        <is>
          <t>30104762000107</t>
        </is>
      </c>
      <c r="D456" t="inlineStr">
        <is>
          <t>VASCONCELOS &amp; RINALDI ENGENHARIA</t>
        </is>
      </c>
      <c r="E456" t="inlineStr">
        <is>
          <t>ADM. OBRA REF. 1ª QUINZ. 03/2025</t>
        </is>
      </c>
      <c r="G456" s="64" t="n">
        <v>9625.16</v>
      </c>
      <c r="H456" t="n">
        <v>1</v>
      </c>
      <c r="I456" s="64" t="n">
        <v>9625.16</v>
      </c>
      <c r="J456" s="39" t="n">
        <v>45721</v>
      </c>
      <c r="K456" t="inlineStr">
        <is>
          <t>ADM</t>
        </is>
      </c>
      <c r="L456" s="71" t="inlineStr">
        <is>
          <t>PIX: 30104762000107</t>
        </is>
      </c>
      <c r="M456" t="inlineStr">
        <is>
          <t>LANÇAMENTO AUTOMÁTICO</t>
        </is>
      </c>
      <c r="N456">
        <f>IF(F456="","NÃO","SIM")</f>
        <v/>
      </c>
      <c r="O456">
        <f>IF($B456=5,"SIM","")</f>
        <v/>
      </c>
      <c r="P456" s="81">
        <f>A456&amp;B456&amp;C456&amp;E456&amp;G456&amp;EDATE(J456,0)</f>
        <v/>
      </c>
      <c r="Q456" s="71">
        <f>IF(A456=0,"",VLOOKUP($A456,RESUMO!$A$8:$B$83,2,FALSE))</f>
        <v/>
      </c>
    </row>
    <row r="457">
      <c r="A457" s="39" t="n">
        <v>45736</v>
      </c>
      <c r="B457" s="53" t="n">
        <v>3</v>
      </c>
      <c r="C457" t="inlineStr">
        <is>
          <t>17250275000186</t>
        </is>
      </c>
      <c r="D457" t="inlineStr">
        <is>
          <t xml:space="preserve">CASA FERREIRA GONÇALVES </t>
        </is>
      </c>
      <c r="E457" t="inlineStr">
        <is>
          <t>MATERIAL HIDRÁULICO - TORNEIRA</t>
        </is>
      </c>
      <c r="F457" t="inlineStr">
        <is>
          <t>968196</t>
        </is>
      </c>
      <c r="G457" s="64" t="n">
        <v>98.2</v>
      </c>
      <c r="H457" t="n">
        <v>1</v>
      </c>
      <c r="I457" s="64" t="n">
        <v>98.2</v>
      </c>
      <c r="J457" s="39" t="n">
        <v>45741</v>
      </c>
      <c r="K457" t="inlineStr">
        <is>
          <t>MAT</t>
        </is>
      </c>
      <c r="L457" t="inlineStr">
        <is>
          <t>-</t>
        </is>
      </c>
      <c r="N457">
        <f>IF(F457="","NÃO","SIM")</f>
        <v/>
      </c>
      <c r="O457">
        <f>IF($B457=5,"SIM","")</f>
        <v/>
      </c>
      <c r="P457" s="81">
        <f>A457&amp;B457&amp;C457&amp;E457&amp;G457&amp;EDATE(J457,0)</f>
        <v/>
      </c>
      <c r="Q457" s="71">
        <f>IF(A457=0,"",VLOOKUP($A457,RESUMO!$A$8:$B$83,2,FALSE))</f>
        <v/>
      </c>
    </row>
    <row r="458">
      <c r="A458" s="39" t="n">
        <v>45736</v>
      </c>
      <c r="B458" s="53" t="n">
        <v>3</v>
      </c>
      <c r="C458" t="inlineStr">
        <is>
          <t>07409393000130</t>
        </is>
      </c>
      <c r="D458" t="inlineStr">
        <is>
          <t>LOCFER</t>
        </is>
      </c>
      <c r="E458" t="inlineStr">
        <is>
          <t>SERRA E POLICORTE</t>
        </is>
      </c>
      <c r="F458" t="inlineStr">
        <is>
          <t>28007</t>
        </is>
      </c>
      <c r="G458" s="64" t="n">
        <v>235</v>
      </c>
      <c r="H458" t="n">
        <v>1</v>
      </c>
      <c r="I458" s="64" t="n">
        <v>235</v>
      </c>
      <c r="J458" s="39" t="n">
        <v>45744</v>
      </c>
      <c r="K458" t="inlineStr">
        <is>
          <t>LOC</t>
        </is>
      </c>
      <c r="L458" t="inlineStr">
        <is>
          <t>-</t>
        </is>
      </c>
      <c r="N458">
        <f>IF(F458="","NÃO","SIM")</f>
        <v/>
      </c>
      <c r="O458">
        <f>IF($B458=5,"SIM","")</f>
        <v/>
      </c>
      <c r="P458" s="81">
        <f>A458&amp;B458&amp;C458&amp;E458&amp;G458&amp;EDATE(J458,0)</f>
        <v/>
      </c>
      <c r="Q458" s="71">
        <f>IF(A458=0,"",VLOOKUP($A458,RESUMO!$A$8:$B$83,2,FALSE))</f>
        <v/>
      </c>
    </row>
    <row r="459">
      <c r="A459" s="39" t="n">
        <v>45736</v>
      </c>
      <c r="B459" s="53" t="n">
        <v>3</v>
      </c>
      <c r="C459" t="inlineStr">
        <is>
          <t>07409393000130</t>
        </is>
      </c>
      <c r="D459" t="inlineStr">
        <is>
          <t>LOCFER</t>
        </is>
      </c>
      <c r="E459" t="inlineStr">
        <is>
          <t>SERRA E MARTELO</t>
        </is>
      </c>
      <c r="F459" t="inlineStr">
        <is>
          <t>28076</t>
        </is>
      </c>
      <c r="G459" s="64" t="n">
        <v>930</v>
      </c>
      <c r="H459" t="n">
        <v>1</v>
      </c>
      <c r="I459" s="64" t="n">
        <v>930</v>
      </c>
      <c r="J459" s="39" t="n">
        <v>45750</v>
      </c>
      <c r="K459" t="inlineStr">
        <is>
          <t>LOC</t>
        </is>
      </c>
      <c r="L459" t="inlineStr">
        <is>
          <t>-</t>
        </is>
      </c>
      <c r="N459">
        <f>IF(F459="","NÃO","SIM")</f>
        <v/>
      </c>
      <c r="O459">
        <f>IF($B459=5,"SIM","")</f>
        <v/>
      </c>
      <c r="P459" s="81">
        <f>A459&amp;B459&amp;C459&amp;E459&amp;G459&amp;EDATE(J459,0)</f>
        <v/>
      </c>
      <c r="Q459" s="71">
        <f>IF(A459=0,"",VLOOKUP($A459,RESUMO!$A$8:$B$83,2,FALSE))</f>
        <v/>
      </c>
    </row>
    <row r="460">
      <c r="A460" s="39" t="n">
        <v>45736</v>
      </c>
      <c r="B460" s="53" t="n">
        <v>3</v>
      </c>
      <c r="C460" t="inlineStr">
        <is>
          <t>07409393000130</t>
        </is>
      </c>
      <c r="D460" t="inlineStr">
        <is>
          <t>LOCFER</t>
        </is>
      </c>
      <c r="E460" t="inlineStr">
        <is>
          <t>ESMERILHADEIRA, MOTOR E MANGOTE</t>
        </is>
      </c>
      <c r="F460" t="inlineStr">
        <is>
          <t>27925</t>
        </is>
      </c>
      <c r="G460" s="64" t="n">
        <v>340</v>
      </c>
      <c r="H460" t="n">
        <v>1</v>
      </c>
      <c r="I460" s="64" t="n">
        <v>340</v>
      </c>
      <c r="J460" s="39" t="n">
        <v>45740</v>
      </c>
      <c r="K460" t="inlineStr">
        <is>
          <t>LOC</t>
        </is>
      </c>
      <c r="L460" t="inlineStr">
        <is>
          <t>-</t>
        </is>
      </c>
      <c r="N460">
        <f>IF(F460="","NÃO","SIM")</f>
        <v/>
      </c>
      <c r="O460">
        <f>IF($B460=5,"SIM","")</f>
        <v/>
      </c>
      <c r="P460" s="81">
        <f>A460&amp;B460&amp;C460&amp;E460&amp;G460&amp;EDATE(J460,0)</f>
        <v/>
      </c>
      <c r="Q460" s="71">
        <f>IF(A460=0,"",VLOOKUP($A460,RESUMO!$A$8:$B$83,2,FALSE))</f>
        <v/>
      </c>
    </row>
    <row r="461">
      <c r="A461" s="39" t="n">
        <v>45736</v>
      </c>
      <c r="B461" s="53" t="n">
        <v>3</v>
      </c>
      <c r="C461" t="inlineStr">
        <is>
          <t>24654133000220</t>
        </is>
      </c>
      <c r="D461" t="inlineStr">
        <is>
          <t xml:space="preserve">PLIMAX PERSONA </t>
        </is>
      </c>
      <c r="E461" t="inlineStr">
        <is>
          <t>CESTAS BÁSICAS</t>
        </is>
      </c>
      <c r="F461" t="inlineStr">
        <is>
          <t>278435</t>
        </is>
      </c>
      <c r="G461" s="64" t="n">
        <v>3079.67</v>
      </c>
      <c r="H461" t="n">
        <v>1</v>
      </c>
      <c r="I461" s="64" t="n">
        <v>3079.67</v>
      </c>
      <c r="J461" s="39" t="n">
        <v>45744</v>
      </c>
      <c r="K461" t="inlineStr">
        <is>
          <t>MO</t>
        </is>
      </c>
      <c r="L461" t="inlineStr">
        <is>
          <t>-</t>
        </is>
      </c>
      <c r="N461">
        <f>IF(F461="","NÃO","SIM")</f>
        <v/>
      </c>
      <c r="O461">
        <f>IF($B461=5,"SIM","")</f>
        <v/>
      </c>
      <c r="P461" s="81">
        <f>A461&amp;B461&amp;C461&amp;E461&amp;G461&amp;EDATE(J461,0)</f>
        <v/>
      </c>
      <c r="Q461" s="71">
        <f>IF(A461=0,"",VLOOKUP($A461,RESUMO!$A$8:$B$83,2,FALSE))</f>
        <v/>
      </c>
    </row>
    <row r="462">
      <c r="A462" s="39" t="n">
        <v>45736</v>
      </c>
      <c r="B462" s="53" t="n">
        <v>3</v>
      </c>
      <c r="C462" t="inlineStr">
        <is>
          <t>21944558000103</t>
        </is>
      </c>
      <c r="D462" t="inlineStr">
        <is>
          <t>LOCAN ANDAIMES</t>
        </is>
      </c>
      <c r="E462" t="inlineStr">
        <is>
          <t>LOCAÇÃO DE ANDAIMES</t>
        </is>
      </c>
      <c r="F462" t="inlineStr">
        <is>
          <t>10551</t>
        </is>
      </c>
      <c r="G462" s="64" t="n">
        <v>228</v>
      </c>
      <c r="H462" t="n">
        <v>1</v>
      </c>
      <c r="I462" s="64" t="n">
        <v>228</v>
      </c>
      <c r="J462" s="39" t="n">
        <v>45736</v>
      </c>
      <c r="K462" t="inlineStr">
        <is>
          <t>LOC</t>
        </is>
      </c>
      <c r="L462" t="inlineStr">
        <is>
          <t>-</t>
        </is>
      </c>
      <c r="N462">
        <f>IF(F462="","NÃO","SIM")</f>
        <v/>
      </c>
      <c r="O462">
        <f>IF($B462=5,"SIM","")</f>
        <v/>
      </c>
      <c r="P462" s="81">
        <f>A462&amp;B462&amp;C462&amp;E462&amp;G462&amp;EDATE(J462,0)</f>
        <v/>
      </c>
      <c r="Q462" s="71">
        <f>IF(A462=0,"",VLOOKUP($A462,RESUMO!$A$8:$B$83,2,FALSE))</f>
        <v/>
      </c>
    </row>
    <row r="463">
      <c r="A463" s="39" t="n">
        <v>45736</v>
      </c>
      <c r="B463" s="53" t="n">
        <v>3</v>
      </c>
      <c r="C463" t="inlineStr">
        <is>
          <t>30996544000116</t>
        </is>
      </c>
      <c r="D463" t="inlineStr">
        <is>
          <t>WORK MED</t>
        </is>
      </c>
      <c r="E463" t="inlineStr">
        <is>
          <t>REALIZAÇÃO DE EXAMES</t>
        </is>
      </c>
      <c r="F463" t="inlineStr">
        <is>
          <t>3786</t>
        </is>
      </c>
      <c r="G463" s="64" t="n">
        <v>188</v>
      </c>
      <c r="H463" t="n">
        <v>1</v>
      </c>
      <c r="I463" s="64" t="n">
        <v>188</v>
      </c>
      <c r="J463" s="39" t="n">
        <v>45736</v>
      </c>
      <c r="K463" t="inlineStr">
        <is>
          <t>MO</t>
        </is>
      </c>
      <c r="L463" t="inlineStr">
        <is>
          <t>-</t>
        </is>
      </c>
      <c r="N463">
        <f>IF(F463="","NÃO","SIM")</f>
        <v/>
      </c>
      <c r="O463">
        <f>IF($B463=5,"SIM","")</f>
        <v/>
      </c>
      <c r="P463" s="81">
        <f>A463&amp;B463&amp;C463&amp;E463&amp;G463&amp;EDATE(J463,0)</f>
        <v/>
      </c>
      <c r="Q463" s="71">
        <f>IF(A463=0,"",VLOOKUP($A463,RESUMO!$A$8:$B$83,2,FALSE))</f>
        <v/>
      </c>
    </row>
    <row r="464">
      <c r="A464" s="39" t="n">
        <v>45736</v>
      </c>
      <c r="B464" s="53" t="n">
        <v>3</v>
      </c>
      <c r="C464" t="inlineStr">
        <is>
          <t>38727707000177</t>
        </is>
      </c>
      <c r="D464" t="inlineStr">
        <is>
          <t>PASI SEGURO</t>
        </is>
      </c>
      <c r="E464" t="inlineStr">
        <is>
          <t>SEGURO COLABORADORES</t>
        </is>
      </c>
      <c r="G464" s="64" t="n">
        <v>232.1</v>
      </c>
      <c r="H464" t="n">
        <v>1</v>
      </c>
      <c r="I464" s="64" t="n">
        <v>232.1</v>
      </c>
      <c r="J464" s="39" t="n">
        <v>45747</v>
      </c>
      <c r="K464" t="inlineStr">
        <is>
          <t>MO</t>
        </is>
      </c>
      <c r="L464" t="inlineStr">
        <is>
          <t>-</t>
        </is>
      </c>
      <c r="N464">
        <f>IF(F464="","NÃO","SIM")</f>
        <v/>
      </c>
      <c r="O464">
        <f>IF($B464=5,"SIM","")</f>
        <v/>
      </c>
      <c r="P464" s="81">
        <f>A464&amp;B464&amp;C464&amp;E464&amp;G464&amp;EDATE(J464,0)</f>
        <v/>
      </c>
      <c r="Q464" s="71">
        <f>IF(A464=0,"",VLOOKUP($A464,RESUMO!$A$8:$B$83,2,FALSE))</f>
        <v/>
      </c>
    </row>
    <row r="465">
      <c r="A465" s="39" t="n">
        <v>45736</v>
      </c>
      <c r="B465" s="53" t="n">
        <v>3</v>
      </c>
      <c r="C465" t="inlineStr">
        <is>
          <t>17581836000634</t>
        </is>
      </c>
      <c r="D465" t="inlineStr">
        <is>
          <t>LOJA DO PAULO</t>
        </is>
      </c>
      <c r="E465" t="inlineStr">
        <is>
          <t>SERRA CIRCULAR</t>
        </is>
      </c>
      <c r="F465" t="inlineStr">
        <is>
          <t>35001</t>
        </is>
      </c>
      <c r="G465" s="64" t="n">
        <v>299.5</v>
      </c>
      <c r="H465" t="n">
        <v>1</v>
      </c>
      <c r="I465" s="64" t="n">
        <v>299.5</v>
      </c>
      <c r="J465" s="39" t="n">
        <v>45751</v>
      </c>
      <c r="K465" t="inlineStr">
        <is>
          <t>MAT</t>
        </is>
      </c>
      <c r="L465" t="inlineStr">
        <is>
          <t>-</t>
        </is>
      </c>
      <c r="N465">
        <f>IF(F465="","NÃO","SIM")</f>
        <v/>
      </c>
      <c r="O465">
        <f>IF($B465=5,"SIM","")</f>
        <v/>
      </c>
      <c r="P465" s="81">
        <f>A465&amp;B465&amp;C465&amp;E465&amp;G465&amp;EDATE(J465,0)</f>
        <v/>
      </c>
      <c r="Q465" s="71">
        <f>IF(A465=0,"",VLOOKUP($A465,RESUMO!$A$8:$B$83,2,FALSE))</f>
        <v/>
      </c>
    </row>
    <row r="466">
      <c r="A466" s="39" t="n">
        <v>45736</v>
      </c>
      <c r="B466" s="53" t="n">
        <v>2</v>
      </c>
      <c r="C466" t="inlineStr">
        <is>
          <t>37052904870</t>
        </is>
      </c>
      <c r="D466" t="inlineStr">
        <is>
          <t>VR AREIA E BRITA</t>
        </is>
      </c>
      <c r="E466" t="inlineStr">
        <is>
          <t>AREIA E BRITA - PED. 5097 / 5101</t>
        </is>
      </c>
      <c r="G466" s="64" t="n">
        <v>3200</v>
      </c>
      <c r="H466" t="n">
        <v>1</v>
      </c>
      <c r="I466" s="64" t="n">
        <v>3200</v>
      </c>
      <c r="J466" s="39" t="n">
        <v>45736</v>
      </c>
      <c r="K466" t="inlineStr">
        <is>
          <t>MAT</t>
        </is>
      </c>
      <c r="L466" t="inlineStr">
        <is>
          <t>C6 BANK  - 0001 19363893</t>
        </is>
      </c>
      <c r="N466">
        <f>IF(F466="","NÃO","SIM")</f>
        <v/>
      </c>
      <c r="O466">
        <f>IF($B466=5,"SIM","")</f>
        <v/>
      </c>
      <c r="P466" s="81">
        <f>A466&amp;B466&amp;C466&amp;E466&amp;G466&amp;EDATE(J466,0)</f>
        <v/>
      </c>
      <c r="Q466" s="71">
        <f>IF(A466=0,"",VLOOKUP($A466,RESUMO!$A$8:$B$83,2,FALSE))</f>
        <v/>
      </c>
    </row>
    <row r="467">
      <c r="A467" s="39" t="n">
        <v>45736</v>
      </c>
      <c r="B467" s="53" t="n">
        <v>3</v>
      </c>
      <c r="C467" t="inlineStr">
        <is>
          <t>00000011045</t>
        </is>
      </c>
      <c r="D467" t="inlineStr">
        <is>
          <t>MHS EVENTO SST ESOCIAL</t>
        </is>
      </c>
      <c r="E467" t="inlineStr">
        <is>
          <t xml:space="preserve">COMPETENCIA 02/2025 - NF A EMITIR
</t>
        </is>
      </c>
      <c r="G467" s="64" t="n">
        <v>122.8</v>
      </c>
      <c r="H467" t="n">
        <v>1</v>
      </c>
      <c r="I467" s="64" t="n">
        <v>122.8</v>
      </c>
      <c r="J467" s="39" t="n">
        <v>45740</v>
      </c>
      <c r="K467" t="inlineStr">
        <is>
          <t>MO</t>
        </is>
      </c>
      <c r="L467" t="inlineStr">
        <is>
          <t>PIX: 31995901635</t>
        </is>
      </c>
      <c r="N467">
        <f>IF(F467="","NÃO","SIM")</f>
        <v/>
      </c>
      <c r="O467">
        <f>IF($B467=5,"SIM","")</f>
        <v/>
      </c>
      <c r="P467" s="81">
        <f>A467&amp;B467&amp;C467&amp;E467&amp;G467&amp;EDATE(J467,0)</f>
        <v/>
      </c>
      <c r="Q467" s="71">
        <f>IF(A467=0,"",VLOOKUP($A467,RESUMO!$A$8:$B$83,2,FALSE))</f>
        <v/>
      </c>
    </row>
    <row r="468">
      <c r="A468" s="39" t="n">
        <v>45736</v>
      </c>
      <c r="B468" s="53" t="n">
        <v>3</v>
      </c>
      <c r="C468" t="inlineStr">
        <is>
          <t>15373066000102</t>
        </is>
      </c>
      <c r="D468" t="inlineStr">
        <is>
          <t>JB CIMENTO</t>
        </is>
      </c>
      <c r="E468" t="inlineStr">
        <is>
          <t>CIMENTO</t>
        </is>
      </c>
      <c r="F468" t="inlineStr">
        <is>
          <t>286366</t>
        </is>
      </c>
      <c r="G468" s="64" t="n">
        <v>2168</v>
      </c>
      <c r="H468" t="n">
        <v>1</v>
      </c>
      <c r="I468" s="64" t="n">
        <v>2168</v>
      </c>
      <c r="J468" s="39" t="n">
        <v>45744</v>
      </c>
      <c r="K468" t="inlineStr">
        <is>
          <t>MAT</t>
        </is>
      </c>
      <c r="L468" t="inlineStr">
        <is>
          <t>-</t>
        </is>
      </c>
      <c r="N468">
        <f>IF(F468="","NÃO","SIM")</f>
        <v/>
      </c>
      <c r="O468">
        <f>IF($B468=5,"SIM","")</f>
        <v/>
      </c>
      <c r="P468" s="81">
        <f>A468&amp;B468&amp;C468&amp;E468&amp;G468&amp;EDATE(J468,0)</f>
        <v/>
      </c>
      <c r="Q468" s="71">
        <f>IF(A468=0,"",VLOOKUP($A468,RESUMO!$A$8:$B$83,2,FALSE))</f>
        <v/>
      </c>
    </row>
    <row r="469">
      <c r="A469" s="39" t="n">
        <v>45736</v>
      </c>
      <c r="B469" s="53" t="n">
        <v>3</v>
      </c>
      <c r="C469" t="inlineStr">
        <is>
          <t>34713151000109</t>
        </is>
      </c>
      <c r="D469" t="inlineStr">
        <is>
          <t>CONSULTARELABCON</t>
        </is>
      </c>
      <c r="E469" t="inlineStr">
        <is>
          <t>CONTROLE TECNOLÓGICO DE QUALIDADE</t>
        </is>
      </c>
      <c r="F469" t="inlineStr">
        <is>
          <t>223</t>
        </is>
      </c>
      <c r="G469" s="64" t="n">
        <v>394</v>
      </c>
      <c r="H469" t="n">
        <v>1</v>
      </c>
      <c r="I469" s="64" t="n">
        <v>394</v>
      </c>
      <c r="J469" s="39" t="n">
        <v>45747</v>
      </c>
      <c r="K469" t="inlineStr">
        <is>
          <t>SERV</t>
        </is>
      </c>
      <c r="L469" t="inlineStr">
        <is>
          <t>-</t>
        </is>
      </c>
      <c r="N469">
        <f>IF(F469="","NÃO","SIM")</f>
        <v/>
      </c>
      <c r="O469">
        <f>IF($B469=5,"SIM","")</f>
        <v/>
      </c>
      <c r="P469" s="81">
        <f>A469&amp;B469&amp;C469&amp;E469&amp;G469&amp;EDATE(J469,0)</f>
        <v/>
      </c>
      <c r="Q469" s="71">
        <f>IF(A469=0,"",VLOOKUP($A469,RESUMO!$A$8:$B$83,2,FALSE))</f>
        <v/>
      </c>
    </row>
    <row r="470">
      <c r="A470" s="39" t="n">
        <v>45736</v>
      </c>
      <c r="B470" s="53" t="n">
        <v>3</v>
      </c>
      <c r="C470" t="inlineStr">
        <is>
          <t>34713151000109</t>
        </is>
      </c>
      <c r="D470" t="inlineStr">
        <is>
          <t>CONSULTARELABCON</t>
        </is>
      </c>
      <c r="E470" t="inlineStr">
        <is>
          <t xml:space="preserve">ALUGUEL DE FORMAS E KIT SLUMP - FL 16688
</t>
        </is>
      </c>
      <c r="G470" s="64" t="n">
        <v>394</v>
      </c>
      <c r="H470" t="n">
        <v>1</v>
      </c>
      <c r="I470" s="64" t="n">
        <v>394</v>
      </c>
      <c r="J470" s="39" t="n">
        <v>45747</v>
      </c>
      <c r="K470" t="inlineStr">
        <is>
          <t>LOC</t>
        </is>
      </c>
      <c r="L470" t="inlineStr">
        <is>
          <t>-</t>
        </is>
      </c>
      <c r="N470">
        <f>IF(F470="","NÃO","SIM")</f>
        <v/>
      </c>
      <c r="O470">
        <f>IF($B470=5,"SIM","")</f>
        <v/>
      </c>
      <c r="P470" s="81">
        <f>A470&amp;B470&amp;C470&amp;E470&amp;G470&amp;EDATE(J470,0)</f>
        <v/>
      </c>
      <c r="Q470" s="71">
        <f>IF(A470=0,"",VLOOKUP($A470,RESUMO!$A$8:$B$83,2,FALSE))</f>
        <v/>
      </c>
    </row>
    <row r="471">
      <c r="A471" s="39" t="n">
        <v>45736</v>
      </c>
      <c r="B471" s="53" t="n">
        <v>5</v>
      </c>
      <c r="C471" t="inlineStr">
        <is>
          <t>47974306000102</t>
        </is>
      </c>
      <c r="D471" t="inlineStr">
        <is>
          <t>SMART MADEIRAS LTDA</t>
        </is>
      </c>
      <c r="E471" t="inlineStr">
        <is>
          <t>MADEIRAS</t>
        </is>
      </c>
      <c r="F471" t="inlineStr">
        <is>
          <t>210</t>
        </is>
      </c>
      <c r="G471" s="64" t="n">
        <v>5990</v>
      </c>
      <c r="H471" t="n">
        <v>1</v>
      </c>
      <c r="I471" s="64" t="n">
        <v>5990</v>
      </c>
      <c r="J471" s="39" t="n">
        <v>45726</v>
      </c>
      <c r="K471" t="inlineStr">
        <is>
          <t>MAT</t>
        </is>
      </c>
      <c r="L471" t="inlineStr">
        <is>
          <t>-</t>
        </is>
      </c>
      <c r="N471">
        <f>IF(F471="","NÃO","SIM")</f>
        <v/>
      </c>
      <c r="O471">
        <f>IF($B471=5,"SIM","")</f>
        <v/>
      </c>
      <c r="P471" s="81">
        <f>A471&amp;B471&amp;C471&amp;E471&amp;G471&amp;EDATE(J471,0)</f>
        <v/>
      </c>
      <c r="Q471" s="71">
        <f>IF(A471=0,"",VLOOKUP($A471,RESUMO!$A$8:$B$83,2,FALSE))</f>
        <v/>
      </c>
    </row>
    <row r="472">
      <c r="A472" s="39" t="n">
        <v>45736</v>
      </c>
      <c r="B472" s="53" t="n">
        <v>3</v>
      </c>
      <c r="C472" t="inlineStr">
        <is>
          <t>00360305000104</t>
        </is>
      </c>
      <c r="D472" t="inlineStr">
        <is>
          <t>FGTS</t>
        </is>
      </c>
      <c r="E472" t="inlineStr">
        <is>
          <t>REF. 02/2025</t>
        </is>
      </c>
      <c r="G472" s="64" t="n">
        <v>2003.34</v>
      </c>
      <c r="H472" t="n">
        <v>1</v>
      </c>
      <c r="I472" s="64" t="n">
        <v>2003.34</v>
      </c>
      <c r="J472" s="39" t="n">
        <v>45736</v>
      </c>
      <c r="K472" t="inlineStr">
        <is>
          <t>MO</t>
        </is>
      </c>
      <c r="L472" t="inlineStr">
        <is>
          <t>-</t>
        </is>
      </c>
      <c r="N472">
        <f>IF(F472="","NÃO","SIM")</f>
        <v/>
      </c>
      <c r="O472">
        <f>IF($B472=5,"SIM","")</f>
        <v/>
      </c>
      <c r="P472" s="81">
        <f>A472&amp;B472&amp;C472&amp;E472&amp;G472&amp;EDATE(J472,0)</f>
        <v/>
      </c>
      <c r="Q472" s="71">
        <f>IF(A472=0,"",VLOOKUP($A472,RESUMO!$A$8:$B$83,2,FALSE))</f>
        <v/>
      </c>
    </row>
    <row r="473">
      <c r="A473" s="39" t="n">
        <v>45736</v>
      </c>
      <c r="B473" s="53" t="n">
        <v>3</v>
      </c>
      <c r="C473" t="inlineStr">
        <is>
          <t>00394460000141</t>
        </is>
      </c>
      <c r="D473" t="inlineStr">
        <is>
          <t>INSS/IRRF</t>
        </is>
      </c>
      <c r="E473" t="inlineStr">
        <is>
          <t>REF. 02/2025</t>
        </is>
      </c>
      <c r="G473" s="64" t="n">
        <v>10201.8</v>
      </c>
      <c r="H473" t="n">
        <v>1</v>
      </c>
      <c r="I473" s="64" t="n">
        <v>10201.8</v>
      </c>
      <c r="J473" s="39" t="n">
        <v>45736</v>
      </c>
      <c r="K473" t="inlineStr">
        <is>
          <t>MO</t>
        </is>
      </c>
      <c r="L473" t="inlineStr">
        <is>
          <t>-</t>
        </is>
      </c>
      <c r="N473">
        <f>IF(F473="","NÃO","SIM")</f>
        <v/>
      </c>
      <c r="O473">
        <f>IF($B473=5,"SIM","")</f>
        <v/>
      </c>
      <c r="P473" s="81">
        <f>A473&amp;B473&amp;C473&amp;E473&amp;G473&amp;EDATE(J473,0)</f>
        <v/>
      </c>
      <c r="Q473" s="71">
        <f>IF(A473=0,"",VLOOKUP($A473,RESUMO!$A$8:$B$83,2,FALSE))</f>
        <v/>
      </c>
    </row>
    <row r="474">
      <c r="A474" s="39" t="n">
        <v>45736</v>
      </c>
      <c r="B474" s="53" t="n">
        <v>5</v>
      </c>
      <c r="C474" t="inlineStr">
        <is>
          <t>00006288600</t>
        </is>
      </c>
      <c r="D474" t="inlineStr">
        <is>
          <t>IVANY ANTONIO SOARES TANCREDO</t>
        </is>
      </c>
      <c r="E474" t="inlineStr">
        <is>
          <t>PROJETO AMPLIAÇÃO E REFORÇO ESTRUTURAL</t>
        </is>
      </c>
      <c r="F474" t="inlineStr">
        <is>
          <t>86</t>
        </is>
      </c>
      <c r="G474" s="64" t="n">
        <v>9000</v>
      </c>
      <c r="H474" t="n">
        <v>1</v>
      </c>
      <c r="I474" s="64" t="n">
        <v>9000</v>
      </c>
      <c r="J474" s="39" t="n">
        <v>45728</v>
      </c>
      <c r="K474" t="inlineStr">
        <is>
          <t>SERV</t>
        </is>
      </c>
      <c r="L474" t="inlineStr">
        <is>
          <t>PIX: 31984547688</t>
        </is>
      </c>
      <c r="N474">
        <f>IF(F474="","NÃO","SIM")</f>
        <v/>
      </c>
      <c r="O474">
        <f>IF($B474=5,"SIM","")</f>
        <v/>
      </c>
      <c r="P474" s="81">
        <f>A474&amp;B474&amp;C474&amp;E474&amp;G474&amp;EDATE(J474,0)</f>
        <v/>
      </c>
      <c r="Q474" s="71">
        <f>IF(A474=0,"",VLOOKUP($A474,RESUMO!$A$8:$B$83,2,FALSE))</f>
        <v/>
      </c>
    </row>
    <row r="475">
      <c r="A475" s="39" t="n">
        <v>45736</v>
      </c>
      <c r="B475" s="53" t="n">
        <v>1</v>
      </c>
      <c r="C475" t="inlineStr">
        <is>
          <t>07573876670</t>
        </is>
      </c>
      <c r="D475" t="inlineStr">
        <is>
          <t>BRUNO JUNIO DA SILVA</t>
        </is>
      </c>
      <c r="E475" t="inlineStr">
        <is>
          <t>SALÁRIO</t>
        </is>
      </c>
      <c r="G475" s="64" t="n">
        <v>2719.6</v>
      </c>
      <c r="H475" t="n">
        <v>1</v>
      </c>
      <c r="I475" s="64" t="n">
        <v>2719.6</v>
      </c>
      <c r="J475" s="39" t="n">
        <v>45736</v>
      </c>
      <c r="K475" t="inlineStr">
        <is>
          <t>MO</t>
        </is>
      </c>
      <c r="L475" t="inlineStr">
        <is>
          <t>PIX: 07573876670</t>
        </is>
      </c>
      <c r="N475">
        <f>IF(F475="","NÃO","SIM")</f>
        <v/>
      </c>
      <c r="O475">
        <f>IF($B475=5,"SIM","")</f>
        <v/>
      </c>
      <c r="P475" s="81">
        <f>A475&amp;B475&amp;C475&amp;E475&amp;G475&amp;EDATE(J475,0)</f>
        <v/>
      </c>
      <c r="Q475" s="71">
        <f>IF(A475=0,"",VLOOKUP($A475,RESUMO!$A$8:$B$83,2,FALSE))</f>
        <v/>
      </c>
    </row>
    <row r="476">
      <c r="A476" s="39" t="n">
        <v>45736</v>
      </c>
      <c r="B476" s="53" t="n">
        <v>1</v>
      </c>
      <c r="C476" t="inlineStr">
        <is>
          <t>00354432605</t>
        </is>
      </c>
      <c r="D476" t="inlineStr">
        <is>
          <t>ANTONIO DUTRA DE FREITAS</t>
        </is>
      </c>
      <c r="E476" t="inlineStr">
        <is>
          <t>SALÁRIO</t>
        </is>
      </c>
      <c r="G476" s="64" t="n">
        <v>1156</v>
      </c>
      <c r="H476" t="n">
        <v>1</v>
      </c>
      <c r="I476" s="64" t="n">
        <v>1156</v>
      </c>
      <c r="J476" s="39" t="n">
        <v>45736</v>
      </c>
      <c r="K476" t="inlineStr">
        <is>
          <t>MO</t>
        </is>
      </c>
      <c r="L476" t="inlineStr">
        <is>
          <t>PIX: 31982618378</t>
        </is>
      </c>
      <c r="N476">
        <f>IF(F476="","NÃO","SIM")</f>
        <v/>
      </c>
      <c r="O476">
        <f>IF($B476=5,"SIM","")</f>
        <v/>
      </c>
      <c r="P476" s="81">
        <f>A476&amp;B476&amp;C476&amp;E476&amp;G476&amp;EDATE(J476,0)</f>
        <v/>
      </c>
      <c r="Q476" s="71">
        <f>IF(A476=0,"",VLOOKUP($A476,RESUMO!$A$8:$B$83,2,FALSE))</f>
        <v/>
      </c>
    </row>
    <row r="477">
      <c r="A477" s="39" t="n">
        <v>45736</v>
      </c>
      <c r="B477" s="53" t="n">
        <v>1</v>
      </c>
      <c r="C477" t="inlineStr">
        <is>
          <t>07249031600</t>
        </is>
      </c>
      <c r="D477" t="inlineStr">
        <is>
          <t>EDER PEREIRA DA SILVA</t>
        </is>
      </c>
      <c r="E477" t="inlineStr">
        <is>
          <t>SALÁRIO</t>
        </is>
      </c>
      <c r="G477" s="64" t="n">
        <v>1156</v>
      </c>
      <c r="H477" t="n">
        <v>1</v>
      </c>
      <c r="I477" s="64" t="n">
        <v>1156</v>
      </c>
      <c r="J477" s="39" t="n">
        <v>45736</v>
      </c>
      <c r="K477" t="inlineStr">
        <is>
          <t>MO</t>
        </is>
      </c>
      <c r="L477" t="inlineStr">
        <is>
          <t>PIX: 07249031600</t>
        </is>
      </c>
      <c r="N477">
        <f>IF(F477="","NÃO","SIM")</f>
        <v/>
      </c>
      <c r="O477">
        <f>IF($B477=5,"SIM","")</f>
        <v/>
      </c>
      <c r="P477" s="81">
        <f>A477&amp;B477&amp;C477&amp;E477&amp;G477&amp;EDATE(J477,0)</f>
        <v/>
      </c>
      <c r="Q477" s="71">
        <f>IF(A477=0,"",VLOOKUP($A477,RESUMO!$A$8:$B$83,2,FALSE))</f>
        <v/>
      </c>
    </row>
    <row r="478">
      <c r="A478" s="39" t="n">
        <v>45736</v>
      </c>
      <c r="B478" s="53" t="n">
        <v>1</v>
      </c>
      <c r="C478" t="inlineStr">
        <is>
          <t>14758063613</t>
        </is>
      </c>
      <c r="D478" t="inlineStr">
        <is>
          <t>IZAEL BISPO OLIVEIRA</t>
        </is>
      </c>
      <c r="E478" t="inlineStr">
        <is>
          <t>SALÁRIO</t>
        </is>
      </c>
      <c r="G478" s="64" t="n">
        <v>1156</v>
      </c>
      <c r="H478" t="n">
        <v>1</v>
      </c>
      <c r="I478" s="64" t="n">
        <v>1156</v>
      </c>
      <c r="J478" s="39" t="n">
        <v>45736</v>
      </c>
      <c r="K478" t="inlineStr">
        <is>
          <t>MO</t>
        </is>
      </c>
      <c r="L478" t="inlineStr">
        <is>
          <t>PIX: 14758063613</t>
        </is>
      </c>
      <c r="N478">
        <f>IF(F478="","NÃO","SIM")</f>
        <v/>
      </c>
      <c r="O478">
        <f>IF($B478=5,"SIM","")</f>
        <v/>
      </c>
      <c r="P478" s="81">
        <f>A478&amp;B478&amp;C478&amp;E478&amp;G478&amp;EDATE(J478,0)</f>
        <v/>
      </c>
      <c r="Q478" s="71">
        <f>IF(A478=0,"",VLOOKUP($A478,RESUMO!$A$8:$B$83,2,FALSE))</f>
        <v/>
      </c>
    </row>
    <row r="479">
      <c r="A479" s="39" t="n">
        <v>45736</v>
      </c>
      <c r="B479" s="53" t="n">
        <v>1</v>
      </c>
      <c r="C479" t="inlineStr">
        <is>
          <t>85086894387</t>
        </is>
      </c>
      <c r="D479" t="inlineStr">
        <is>
          <t>ROBERVAL PORTACIO DOS SANTOS</t>
        </is>
      </c>
      <c r="E479" t="inlineStr">
        <is>
          <t>SALÁRIO</t>
        </is>
      </c>
      <c r="G479" s="64" t="n">
        <v>672.4</v>
      </c>
      <c r="H479" t="n">
        <v>1</v>
      </c>
      <c r="I479" s="64" t="n">
        <v>672.4</v>
      </c>
      <c r="J479" s="39" t="n">
        <v>45736</v>
      </c>
      <c r="K479" t="inlineStr">
        <is>
          <t>MO</t>
        </is>
      </c>
      <c r="L479" t="inlineStr">
        <is>
          <t>PIX: 31971706400</t>
        </is>
      </c>
      <c r="N479">
        <f>IF(F479="","NÃO","SIM")</f>
        <v/>
      </c>
      <c r="O479">
        <f>IF($B479=5,"SIM","")</f>
        <v/>
      </c>
      <c r="P479" s="81">
        <f>A479&amp;B479&amp;C479&amp;E479&amp;G479&amp;EDATE(J479,0)</f>
        <v/>
      </c>
      <c r="Q479" s="71">
        <f>IF(A479=0,"",VLOOKUP($A479,RESUMO!$A$8:$B$83,2,FALSE))</f>
        <v/>
      </c>
    </row>
    <row r="480">
      <c r="A480" s="39" t="n">
        <v>45736</v>
      </c>
      <c r="B480" s="53" t="n">
        <v>1</v>
      </c>
      <c r="C480" t="inlineStr">
        <is>
          <t>87942119653</t>
        </is>
      </c>
      <c r="D480" t="inlineStr">
        <is>
          <t>DOMINGOS DA SILVA LIMA</t>
        </is>
      </c>
      <c r="E480" t="inlineStr">
        <is>
          <t>SALÁRIO</t>
        </is>
      </c>
      <c r="G480" s="64" t="n">
        <v>672.4</v>
      </c>
      <c r="H480" t="n">
        <v>1</v>
      </c>
      <c r="I480" s="64" t="n">
        <v>672.4</v>
      </c>
      <c r="J480" s="39" t="n">
        <v>45736</v>
      </c>
      <c r="K480" t="inlineStr">
        <is>
          <t>MO</t>
        </is>
      </c>
      <c r="L480" t="inlineStr">
        <is>
          <t>CAIXA 13 - 892 00113057-1</t>
        </is>
      </c>
      <c r="N480">
        <f>IF(F480="","NÃO","SIM")</f>
        <v/>
      </c>
      <c r="O480">
        <f>IF($B480=5,"SIM","")</f>
        <v/>
      </c>
      <c r="P480" s="81">
        <f>A480&amp;B480&amp;C480&amp;E480&amp;G480&amp;EDATE(J480,0)</f>
        <v/>
      </c>
      <c r="Q480" s="71">
        <f>IF(A480=0,"",VLOOKUP($A480,RESUMO!$A$8:$B$83,2,FALSE))</f>
        <v/>
      </c>
    </row>
    <row r="481">
      <c r="A481" s="39" t="n">
        <v>45736</v>
      </c>
      <c r="B481" s="53" t="n">
        <v>1</v>
      </c>
      <c r="C481" t="inlineStr">
        <is>
          <t>01980098603</t>
        </is>
      </c>
      <c r="D481" t="inlineStr">
        <is>
          <t>LUCAS CATALUNHA DA SILVA</t>
        </is>
      </c>
      <c r="E481" t="inlineStr">
        <is>
          <t>SALÁRIO</t>
        </is>
      </c>
      <c r="G481" s="64" t="n">
        <v>672.4</v>
      </c>
      <c r="H481" t="n">
        <v>1</v>
      </c>
      <c r="I481" s="64" t="n">
        <v>672.4</v>
      </c>
      <c r="J481" s="39" t="n">
        <v>45736</v>
      </c>
      <c r="K481" t="inlineStr">
        <is>
          <t>MO</t>
        </is>
      </c>
      <c r="L481" t="inlineStr">
        <is>
          <t>PIX: 01980098603</t>
        </is>
      </c>
      <c r="N481">
        <f>IF(F481="","NÃO","SIM")</f>
        <v/>
      </c>
      <c r="O481">
        <f>IF($B481=5,"SIM","")</f>
        <v/>
      </c>
      <c r="P481" s="81">
        <f>A481&amp;B481&amp;C481&amp;E481&amp;G481&amp;EDATE(J481,0)</f>
        <v/>
      </c>
      <c r="Q481" s="71">
        <f>IF(A481=0,"",VLOOKUP($A481,RESUMO!$A$8:$B$83,2,FALSE))</f>
        <v/>
      </c>
    </row>
    <row r="482">
      <c r="A482" s="39" t="n">
        <v>45736</v>
      </c>
      <c r="B482" s="53" t="n">
        <v>1</v>
      </c>
      <c r="C482" t="inlineStr">
        <is>
          <t>75746980315</t>
        </is>
      </c>
      <c r="D482" t="inlineStr">
        <is>
          <t>FRANCISCO REGO DA SILVA</t>
        </is>
      </c>
      <c r="E482" t="inlineStr">
        <is>
          <t>SALÁRIO</t>
        </is>
      </c>
      <c r="G482" s="64" t="n">
        <v>979.6</v>
      </c>
      <c r="H482" t="n">
        <v>1</v>
      </c>
      <c r="I482" s="64" t="n">
        <v>979.6</v>
      </c>
      <c r="J482" s="39" t="n">
        <v>45736</v>
      </c>
      <c r="K482" t="inlineStr">
        <is>
          <t>MO</t>
        </is>
      </c>
      <c r="L482" t="inlineStr">
        <is>
          <t>PIX: 75746980315</t>
        </is>
      </c>
      <c r="N482">
        <f>IF(F482="","NÃO","SIM")</f>
        <v/>
      </c>
      <c r="O482">
        <f>IF($B482=5,"SIM","")</f>
        <v/>
      </c>
      <c r="P482" s="81">
        <f>A482&amp;B482&amp;C482&amp;E482&amp;G482&amp;EDATE(J482,0)</f>
        <v/>
      </c>
      <c r="Q482" s="71">
        <f>IF(A482=0,"",VLOOKUP($A482,RESUMO!$A$8:$B$83,2,FALSE))</f>
        <v/>
      </c>
    </row>
    <row r="483">
      <c r="A483" s="39" t="n">
        <v>45736</v>
      </c>
      <c r="B483" s="53" t="n">
        <v>1</v>
      </c>
      <c r="C483" t="inlineStr">
        <is>
          <t>00000012793</t>
        </is>
      </c>
      <c r="D483" t="inlineStr">
        <is>
          <t>BRUNO RODRIGUES DOS SANTOS</t>
        </is>
      </c>
      <c r="E483" t="inlineStr">
        <is>
          <t>SALÁRIO</t>
        </is>
      </c>
      <c r="G483" s="64" t="n">
        <v>854.8</v>
      </c>
      <c r="H483" t="n">
        <v>1</v>
      </c>
      <c r="I483" s="64" t="n">
        <v>854.8</v>
      </c>
      <c r="J483" s="39" t="n">
        <v>45736</v>
      </c>
      <c r="K483" t="inlineStr">
        <is>
          <t>MO</t>
        </is>
      </c>
      <c r="L483" t="inlineStr">
        <is>
          <t>PIX: 31999187222</t>
        </is>
      </c>
      <c r="N483">
        <f>IF(F483="","NÃO","SIM")</f>
        <v/>
      </c>
      <c r="O483">
        <f>IF($B483=5,"SIM","")</f>
        <v/>
      </c>
      <c r="P483" s="81">
        <f>A483&amp;B483&amp;C483&amp;E483&amp;G483&amp;EDATE(J483,0)</f>
        <v/>
      </c>
      <c r="Q483" s="71">
        <f>IF(A483=0,"",VLOOKUP($A483,RESUMO!$A$8:$B$83,2,FALSE))</f>
        <v/>
      </c>
    </row>
    <row r="484">
      <c r="A484" s="39" t="n">
        <v>45736</v>
      </c>
      <c r="B484" s="53" t="n">
        <v>1</v>
      </c>
      <c r="C484" t="inlineStr">
        <is>
          <t>02038736375</t>
        </is>
      </c>
      <c r="D484" t="inlineStr">
        <is>
          <t>MARCELO FERNANDES DE ALMEIDA</t>
        </is>
      </c>
      <c r="E484" t="inlineStr">
        <is>
          <t>SALÁRIO</t>
        </is>
      </c>
      <c r="G484" s="64" t="n">
        <v>1156</v>
      </c>
      <c r="H484" t="n">
        <v>1</v>
      </c>
      <c r="I484" s="64" t="n">
        <v>1156</v>
      </c>
      <c r="J484" s="39" t="n">
        <v>45736</v>
      </c>
      <c r="K484" t="inlineStr">
        <is>
          <t>MO</t>
        </is>
      </c>
      <c r="L484" t="inlineStr">
        <is>
          <t>PIX: 31 994629438</t>
        </is>
      </c>
      <c r="N484">
        <f>IF(F484="","NÃO","SIM")</f>
        <v/>
      </c>
      <c r="O484">
        <f>IF($B484=5,"SIM","")</f>
        <v/>
      </c>
      <c r="P484" s="81">
        <f>A484&amp;B484&amp;C484&amp;E484&amp;G484&amp;EDATE(J484,0)</f>
        <v/>
      </c>
      <c r="Q484" s="71">
        <f>IF(A484=0,"",VLOOKUP($A484,RESUMO!$A$8:$B$83,2,FALSE))</f>
        <v/>
      </c>
    </row>
    <row r="485">
      <c r="A485" s="39" t="n">
        <v>45736</v>
      </c>
      <c r="B485" s="53" t="n">
        <v>1</v>
      </c>
      <c r="C485" t="inlineStr">
        <is>
          <t>36404993600</t>
        </is>
      </c>
      <c r="D485" t="inlineStr">
        <is>
          <t xml:space="preserve">NIVALDO DA SILVA </t>
        </is>
      </c>
      <c r="E485" t="inlineStr">
        <is>
          <t>DIÁRIA</t>
        </is>
      </c>
      <c r="G485" s="64" t="n">
        <v>270</v>
      </c>
      <c r="H485" t="n">
        <v>9</v>
      </c>
      <c r="I485" s="64" t="n">
        <v>2430</v>
      </c>
      <c r="J485" s="39" t="n">
        <v>45736</v>
      </c>
      <c r="K485" t="inlineStr">
        <is>
          <t>MO</t>
        </is>
      </c>
      <c r="L485" t="inlineStr">
        <is>
          <t>PIX: 36404993600</t>
        </is>
      </c>
      <c r="N485">
        <f>IF(F485="","NÃO","SIM")</f>
        <v/>
      </c>
      <c r="O485">
        <f>IF($B485=5,"SIM","")</f>
        <v/>
      </c>
      <c r="P485" s="81">
        <f>A485&amp;B485&amp;C485&amp;E485&amp;G485&amp;EDATE(J485,0)</f>
        <v/>
      </c>
      <c r="Q485" s="71">
        <f>IF(A485=0,"",VLOOKUP($A485,RESUMO!$A$8:$B$83,2,FALSE))</f>
        <v/>
      </c>
    </row>
    <row r="486">
      <c r="A486" s="39" t="n">
        <v>45736</v>
      </c>
      <c r="B486" s="53" t="n">
        <v>1</v>
      </c>
      <c r="C486" t="inlineStr">
        <is>
          <t>12054582638</t>
        </is>
      </c>
      <c r="D486" t="inlineStr">
        <is>
          <t>RODOLFO DIAS DA SILVA</t>
        </is>
      </c>
      <c r="E486" t="inlineStr">
        <is>
          <t>DIÁRIA</t>
        </is>
      </c>
      <c r="G486" s="64" t="n">
        <v>230</v>
      </c>
      <c r="H486" t="n">
        <v>2</v>
      </c>
      <c r="I486" s="64" t="n">
        <v>460</v>
      </c>
      <c r="J486" s="39" t="n">
        <v>45736</v>
      </c>
      <c r="K486" t="inlineStr">
        <is>
          <t>MO</t>
        </is>
      </c>
      <c r="L486" t="inlineStr">
        <is>
          <t>PIX: 12054582638</t>
        </is>
      </c>
      <c r="N486">
        <f>IF(F486="","NÃO","SIM")</f>
        <v/>
      </c>
      <c r="O486">
        <f>IF($B486=5,"SIM","")</f>
        <v/>
      </c>
      <c r="P486" s="81">
        <f>A486&amp;B486&amp;C486&amp;E486&amp;G486&amp;EDATE(J486,0)</f>
        <v/>
      </c>
      <c r="Q486" s="71">
        <f>IF(A486=0,"",VLOOKUP($A486,RESUMO!$A$8:$B$83,2,FALSE))</f>
        <v/>
      </c>
    </row>
    <row r="487">
      <c r="A487" s="39" t="n">
        <v>45736</v>
      </c>
      <c r="B487" t="n">
        <v>7</v>
      </c>
      <c r="C487" t="inlineStr">
        <is>
          <t>30104762000107</t>
        </is>
      </c>
      <c r="D487" t="inlineStr">
        <is>
          <t>VASCONCELOS &amp; RINALDI ENGENHARIA</t>
        </is>
      </c>
      <c r="E487" t="inlineStr">
        <is>
          <t>ADM. OBRA REF. 2ª QUINZ. 03/2025</t>
        </is>
      </c>
      <c r="G487" s="64" t="n">
        <v>6914.649300000001</v>
      </c>
      <c r="H487" t="n">
        <v>1</v>
      </c>
      <c r="I487" s="64" t="n">
        <v>6914.649300000001</v>
      </c>
      <c r="J487" s="39" t="n">
        <v>45736</v>
      </c>
      <c r="K487" t="inlineStr">
        <is>
          <t>ADM</t>
        </is>
      </c>
      <c r="L487" t="inlineStr">
        <is>
          <t>PIX: 30104762000107</t>
        </is>
      </c>
      <c r="M487" t="inlineStr">
        <is>
          <t>LANÇAMENTO AUTOMÁTICO</t>
        </is>
      </c>
      <c r="N487">
        <f>IF(F487="","NÃO","SIM")</f>
        <v/>
      </c>
      <c r="O487">
        <f>IF($B487=5,"SIM","")</f>
        <v/>
      </c>
      <c r="P487" s="81">
        <f>A487&amp;B487&amp;C487&amp;E487&amp;G487&amp;EDATE(J487,0)</f>
        <v/>
      </c>
      <c r="Q487" s="71">
        <f>IF(A487=0,"",VLOOKUP($A487,RESUMO!$A$8:$B$83,2,FALSE))</f>
        <v/>
      </c>
    </row>
    <row r="488">
      <c r="A488" s="39" t="n">
        <v>45752</v>
      </c>
      <c r="B488" s="53" t="n">
        <v>1</v>
      </c>
      <c r="C488" t="inlineStr">
        <is>
          <t>36404993600</t>
        </is>
      </c>
      <c r="D488" t="inlineStr">
        <is>
          <t xml:space="preserve">NIVALDO DA SILVA </t>
        </is>
      </c>
      <c r="E488" t="inlineStr">
        <is>
          <t>DIÁRIA</t>
        </is>
      </c>
      <c r="G488" s="64" t="n">
        <v>270</v>
      </c>
      <c r="H488" t="n">
        <v>11</v>
      </c>
      <c r="I488" s="64" t="n">
        <v>2970</v>
      </c>
      <c r="J488" s="39" t="n">
        <v>45752</v>
      </c>
      <c r="K488" t="inlineStr">
        <is>
          <t>MO</t>
        </is>
      </c>
      <c r="L488" t="inlineStr">
        <is>
          <t>PIX: 36404993600</t>
        </is>
      </c>
      <c r="N488">
        <f>IF(F488="","NÃO","SIM")</f>
        <v/>
      </c>
      <c r="O488">
        <f>IF($B488=5,"SIM","")</f>
        <v/>
      </c>
      <c r="P488" s="81">
        <f>A488&amp;B488&amp;C488&amp;E488&amp;G488&amp;EDATE(J488,0)</f>
        <v/>
      </c>
      <c r="Q488" s="71">
        <f>IF(A488=0,"",VLOOKUP($A488,RESUMO!$A$8:$B$83,2,FALSE))</f>
        <v/>
      </c>
    </row>
    <row r="489">
      <c r="A489" s="39" t="n">
        <v>45752</v>
      </c>
      <c r="B489" s="53" t="n">
        <v>1</v>
      </c>
      <c r="C489" t="inlineStr">
        <is>
          <t>12054582638</t>
        </is>
      </c>
      <c r="D489" t="inlineStr">
        <is>
          <t>RODOLFO DIAS DA SILVA</t>
        </is>
      </c>
      <c r="E489" t="inlineStr">
        <is>
          <t>DIÁRIA</t>
        </is>
      </c>
      <c r="G489" s="64" t="n">
        <v>250</v>
      </c>
      <c r="H489" t="n">
        <v>5</v>
      </c>
      <c r="I489" s="64" t="n">
        <v>1250</v>
      </c>
      <c r="J489" s="39" t="n">
        <v>45752</v>
      </c>
      <c r="K489" t="inlineStr">
        <is>
          <t>MO</t>
        </is>
      </c>
      <c r="L489" t="inlineStr">
        <is>
          <t>PIX: 12054582638</t>
        </is>
      </c>
      <c r="N489">
        <f>IF(F489="","NÃO","SIM")</f>
        <v/>
      </c>
      <c r="O489">
        <f>IF($B489=5,"SIM","")</f>
        <v/>
      </c>
      <c r="P489" s="81">
        <f>A489&amp;B489&amp;C489&amp;E489&amp;G489&amp;EDATE(J489,0)</f>
        <v/>
      </c>
      <c r="Q489" s="71">
        <f>IF(A489=0,"",VLOOKUP($A489,RESUMO!$A$8:$B$83,2,FALSE))</f>
        <v/>
      </c>
    </row>
    <row r="490">
      <c r="A490" s="39" t="n">
        <v>45752</v>
      </c>
      <c r="B490" s="53" t="n">
        <v>2</v>
      </c>
      <c r="C490" t="inlineStr">
        <is>
          <t>37052904870</t>
        </is>
      </c>
      <c r="D490" t="inlineStr">
        <is>
          <t>VR AREIA E BRITA</t>
        </is>
      </c>
      <c r="E490" t="inlineStr">
        <is>
          <t xml:space="preserve">BRITA 0 - PED. 5121 / 5127
</t>
        </is>
      </c>
      <c r="G490" s="64" t="n">
        <v>3500</v>
      </c>
      <c r="H490" t="n">
        <v>1</v>
      </c>
      <c r="I490" s="64" t="n">
        <v>3500</v>
      </c>
      <c r="J490" s="39" t="n">
        <v>45751</v>
      </c>
      <c r="K490" t="inlineStr">
        <is>
          <t>MAT</t>
        </is>
      </c>
      <c r="L490" t="inlineStr">
        <is>
          <t>PIX: 31987111139</t>
        </is>
      </c>
      <c r="N490">
        <f>IF(F490="","NÃO","SIM")</f>
        <v/>
      </c>
      <c r="O490">
        <f>IF($B490=5,"SIM","")</f>
        <v/>
      </c>
      <c r="P490" s="81">
        <f>A490&amp;B490&amp;C490&amp;E490&amp;G490&amp;EDATE(J490,0)</f>
        <v/>
      </c>
      <c r="Q490" s="71">
        <f>IF(A490=0,"",VLOOKUP($A490,RESUMO!$A$8:$B$83,2,FALSE))</f>
        <v/>
      </c>
    </row>
    <row r="491">
      <c r="A491" s="39" t="n">
        <v>45752</v>
      </c>
      <c r="B491" s="53" t="n">
        <v>2</v>
      </c>
      <c r="C491" t="inlineStr">
        <is>
          <t>07834753000141</t>
        </is>
      </c>
      <c r="D491" t="inlineStr">
        <is>
          <t>ANCORA PAPELARIA</t>
        </is>
      </c>
      <c r="E491" t="inlineStr">
        <is>
          <t>PLOTAGENS</t>
        </is>
      </c>
      <c r="G491" s="64" t="n">
        <v>90</v>
      </c>
      <c r="H491" t="n">
        <v>1</v>
      </c>
      <c r="I491" s="64" t="n">
        <v>90</v>
      </c>
      <c r="J491" s="39" t="n">
        <v>45751</v>
      </c>
      <c r="K491" t="inlineStr">
        <is>
          <t>SERV</t>
        </is>
      </c>
      <c r="L491" t="inlineStr">
        <is>
          <t>PIX: ancorapapelaria@gmail.com</t>
        </is>
      </c>
      <c r="N491">
        <f>IF(F491="","NÃO","SIM")</f>
        <v/>
      </c>
      <c r="O491">
        <f>IF($B491=5,"SIM","")</f>
        <v/>
      </c>
      <c r="P491" s="81">
        <f>A491&amp;B491&amp;C491&amp;E491&amp;G491&amp;EDATE(J491,0)</f>
        <v/>
      </c>
      <c r="Q491" s="71">
        <f>IF(A491=0,"",VLOOKUP($A491,RESUMO!$A$8:$B$83,2,FALSE))</f>
        <v/>
      </c>
    </row>
    <row r="492">
      <c r="A492" s="39" t="n">
        <v>45752</v>
      </c>
      <c r="B492" s="53" t="n">
        <v>2</v>
      </c>
      <c r="C492" t="inlineStr">
        <is>
          <t>59950285000174</t>
        </is>
      </c>
      <c r="D492" t="inlineStr">
        <is>
          <t>HUGO LUIZ ASSEREUI</t>
        </is>
      </c>
      <c r="E492" t="inlineStr">
        <is>
          <t>BOB CAT, E VIAGENS DE CAMINHAO - NF A EMITIR</t>
        </is>
      </c>
      <c r="G492" s="64" t="n">
        <v>29900</v>
      </c>
      <c r="H492" t="n">
        <v>1</v>
      </c>
      <c r="I492" s="64" t="n">
        <v>29900</v>
      </c>
      <c r="J492" s="39" t="n">
        <v>45751</v>
      </c>
      <c r="K492" t="inlineStr">
        <is>
          <t>SERV</t>
        </is>
      </c>
      <c r="L492" t="inlineStr">
        <is>
          <t>-</t>
        </is>
      </c>
      <c r="N492">
        <f>IF(F492="","NÃO","SIM")</f>
        <v/>
      </c>
      <c r="O492">
        <f>IF($B492=5,"SIM","")</f>
        <v/>
      </c>
      <c r="P492" s="81">
        <f>A492&amp;B492&amp;C492&amp;E492&amp;G492&amp;EDATE(J492,0)</f>
        <v/>
      </c>
      <c r="Q492" s="71">
        <f>IF(A492=0,"",VLOOKUP($A492,RESUMO!$A$8:$B$83,2,FALSE))</f>
        <v/>
      </c>
    </row>
    <row r="493">
      <c r="A493" s="39" t="n">
        <v>45752</v>
      </c>
      <c r="B493" s="53" t="n">
        <v>3</v>
      </c>
      <c r="C493" t="inlineStr">
        <is>
          <t>00000011126</t>
        </is>
      </c>
      <c r="D493" t="inlineStr">
        <is>
          <t>MHS MENSALIDADE</t>
        </is>
      </c>
      <c r="E493" t="inlineStr">
        <is>
          <t xml:space="preserve">COMPETENCIA 03/2025 - NF A EMITIR
</t>
        </is>
      </c>
      <c r="G493" s="64" t="n">
        <v>744</v>
      </c>
      <c r="H493" t="n">
        <v>1</v>
      </c>
      <c r="I493" s="64" t="n">
        <v>744</v>
      </c>
      <c r="J493" s="39" t="n">
        <v>45751</v>
      </c>
      <c r="K493" t="inlineStr">
        <is>
          <t>MO</t>
        </is>
      </c>
      <c r="L493" t="inlineStr">
        <is>
          <t>PIX: 31995901635</t>
        </is>
      </c>
      <c r="N493">
        <f>IF(F493="","NÃO","SIM")</f>
        <v/>
      </c>
      <c r="O493">
        <f>IF($B493=5,"SIM","")</f>
        <v/>
      </c>
      <c r="P493" s="81">
        <f>A493&amp;B493&amp;C493&amp;E493&amp;G493&amp;EDATE(J493,0)</f>
        <v/>
      </c>
      <c r="Q493" s="71">
        <f>IF(A493=0,"",VLOOKUP($A493,RESUMO!$A$8:$B$83,2,FALSE))</f>
        <v/>
      </c>
    </row>
    <row r="494">
      <c r="A494" s="39" t="n">
        <v>45752</v>
      </c>
      <c r="B494" s="53" t="n">
        <v>3</v>
      </c>
      <c r="C494" t="inlineStr">
        <is>
          <t>00000011207</t>
        </is>
      </c>
      <c r="D494" t="inlineStr">
        <is>
          <t>MOTOBOY</t>
        </is>
      </c>
      <c r="E494" t="inlineStr">
        <is>
          <t>COMPETENCIA 03/2025</t>
        </is>
      </c>
      <c r="G494" s="64" t="n">
        <v>146</v>
      </c>
      <c r="H494" t="n">
        <v>1</v>
      </c>
      <c r="I494" s="64" t="n">
        <v>146</v>
      </c>
      <c r="J494" s="39" t="n">
        <v>45751</v>
      </c>
      <c r="K494" t="inlineStr">
        <is>
          <t>DIV</t>
        </is>
      </c>
      <c r="L494" t="inlineStr">
        <is>
          <t>PIX: 31995901635</t>
        </is>
      </c>
      <c r="N494">
        <f>IF(F494="","NÃO","SIM")</f>
        <v/>
      </c>
      <c r="O494">
        <f>IF($B494=5,"SIM","")</f>
        <v/>
      </c>
      <c r="P494" s="81">
        <f>A494&amp;B494&amp;C494&amp;E494&amp;G494&amp;EDATE(J494,0)</f>
        <v/>
      </c>
      <c r="Q494" s="71">
        <f>IF(A494=0,"",VLOOKUP($A494,RESUMO!$A$8:$B$83,2,FALSE))</f>
        <v/>
      </c>
    </row>
    <row r="495">
      <c r="A495" s="39" t="n">
        <v>45752</v>
      </c>
      <c r="B495" s="53" t="n">
        <v>3</v>
      </c>
      <c r="C495" t="inlineStr">
        <is>
          <t>17015387000152</t>
        </is>
      </c>
      <c r="D495" t="inlineStr">
        <is>
          <t xml:space="preserve">UNIÃO IMPERMEABILIZANTES </t>
        </is>
      </c>
      <c r="E495" t="inlineStr">
        <is>
          <t>IGOL</t>
        </is>
      </c>
      <c r="F495" t="inlineStr">
        <is>
          <t>15464</t>
        </is>
      </c>
      <c r="G495" s="64" t="n">
        <v>925</v>
      </c>
      <c r="H495" t="n">
        <v>1</v>
      </c>
      <c r="I495" s="64" t="n">
        <v>925</v>
      </c>
      <c r="J495" s="39" t="n">
        <v>45764</v>
      </c>
      <c r="K495" t="inlineStr">
        <is>
          <t>MAT</t>
        </is>
      </c>
      <c r="L495" t="inlineStr">
        <is>
          <t>-</t>
        </is>
      </c>
      <c r="N495">
        <f>IF(F495="","NÃO","SIM")</f>
        <v/>
      </c>
      <c r="O495">
        <f>IF($B495=5,"SIM","")</f>
        <v/>
      </c>
      <c r="P495" s="81">
        <f>A495&amp;B495&amp;C495&amp;E495&amp;G495&amp;EDATE(J495,0)</f>
        <v/>
      </c>
      <c r="Q495" s="71">
        <f>IF(A495=0,"",VLOOKUP($A495,RESUMO!$A$8:$B$83,2,FALSE))</f>
        <v/>
      </c>
    </row>
    <row r="496">
      <c r="A496" s="39" t="n">
        <v>45752</v>
      </c>
      <c r="B496" s="53" t="n">
        <v>3</v>
      </c>
      <c r="C496" t="inlineStr">
        <is>
          <t>07409393000130</t>
        </is>
      </c>
      <c r="D496" t="inlineStr">
        <is>
          <t>LOCFER</t>
        </is>
      </c>
      <c r="E496" t="inlineStr">
        <is>
          <t>MARTELETE E BETONEIRA</t>
        </is>
      </c>
      <c r="F496" t="inlineStr">
        <is>
          <t>28162</t>
        </is>
      </c>
      <c r="G496" s="64" t="n">
        <v>555</v>
      </c>
      <c r="H496" t="n">
        <v>1</v>
      </c>
      <c r="I496" s="64" t="n">
        <v>555</v>
      </c>
      <c r="J496" s="39" t="n">
        <v>45757</v>
      </c>
      <c r="K496" t="inlineStr">
        <is>
          <t>LOC</t>
        </is>
      </c>
      <c r="L496" t="inlineStr">
        <is>
          <t>-</t>
        </is>
      </c>
      <c r="N496">
        <f>IF(F496="","NÃO","SIM")</f>
        <v/>
      </c>
      <c r="O496">
        <f>IF($B496=5,"SIM","")</f>
        <v/>
      </c>
      <c r="P496" s="81">
        <f>A496&amp;B496&amp;C496&amp;E496&amp;G496&amp;EDATE(J496,0)</f>
        <v/>
      </c>
      <c r="Q496" s="71">
        <f>IF(A496=0,"",VLOOKUP($A496,RESUMO!$A$8:$B$83,2,FALSE))</f>
        <v/>
      </c>
    </row>
    <row r="497">
      <c r="A497" s="39" t="n">
        <v>45752</v>
      </c>
      <c r="B497" s="53" t="n">
        <v>3</v>
      </c>
      <c r="C497" t="inlineStr">
        <is>
          <t>07409393000130</t>
        </is>
      </c>
      <c r="D497" t="inlineStr">
        <is>
          <t>LOCFER</t>
        </is>
      </c>
      <c r="E497" t="inlineStr">
        <is>
          <t>MARTELO</t>
        </is>
      </c>
      <c r="F497" t="inlineStr">
        <is>
          <t>28214</t>
        </is>
      </c>
      <c r="G497" s="64" t="n">
        <v>320</v>
      </c>
      <c r="H497" t="n">
        <v>1</v>
      </c>
      <c r="I497" s="64" t="n">
        <v>320</v>
      </c>
      <c r="J497" s="39" t="n">
        <v>45764</v>
      </c>
      <c r="K497" t="inlineStr">
        <is>
          <t>LOC</t>
        </is>
      </c>
      <c r="L497" t="inlineStr">
        <is>
          <t>-</t>
        </is>
      </c>
      <c r="N497">
        <f>IF(F497="","NÃO","SIM")</f>
        <v/>
      </c>
      <c r="O497">
        <f>IF($B497=5,"SIM","")</f>
        <v/>
      </c>
      <c r="P497" s="81">
        <f>A497&amp;B497&amp;C497&amp;E497&amp;G497&amp;EDATE(J497,0)</f>
        <v/>
      </c>
      <c r="Q497" s="71">
        <f>IF(A497=0,"",VLOOKUP($A497,RESUMO!$A$8:$B$83,2,FALSE))</f>
        <v/>
      </c>
    </row>
    <row r="498">
      <c r="A498" s="39" t="n">
        <v>45752</v>
      </c>
      <c r="B498" s="53" t="n">
        <v>3</v>
      </c>
      <c r="C498" t="inlineStr">
        <is>
          <t>07409393000130</t>
        </is>
      </c>
      <c r="D498" t="inlineStr">
        <is>
          <t>LOCFER</t>
        </is>
      </c>
      <c r="E498" t="inlineStr">
        <is>
          <t>MANDRIL E ADAPTADOR</t>
        </is>
      </c>
      <c r="F498" t="inlineStr">
        <is>
          <t>2934</t>
        </is>
      </c>
      <c r="G498" s="64" t="n">
        <v>82</v>
      </c>
      <c r="H498" t="n">
        <v>1</v>
      </c>
      <c r="I498" s="64" t="n">
        <v>82</v>
      </c>
      <c r="J498" s="39" t="n">
        <v>45764</v>
      </c>
      <c r="K498" t="inlineStr">
        <is>
          <t>LOC</t>
        </is>
      </c>
      <c r="L498" t="inlineStr">
        <is>
          <t>-</t>
        </is>
      </c>
      <c r="N498">
        <f>IF(F498="","NÃO","SIM")</f>
        <v/>
      </c>
      <c r="O498">
        <f>IF($B498=5,"SIM","")</f>
        <v/>
      </c>
      <c r="P498" s="81">
        <f>A498&amp;B498&amp;C498&amp;E498&amp;G498&amp;EDATE(J498,0)</f>
        <v/>
      </c>
      <c r="Q498" s="71">
        <f>IF(A498=0,"",VLOOKUP($A498,RESUMO!$A$8:$B$83,2,FALSE))</f>
        <v/>
      </c>
    </row>
    <row r="499">
      <c r="A499" s="39" t="n">
        <v>45752</v>
      </c>
      <c r="B499" s="53" t="n">
        <v>3</v>
      </c>
      <c r="C499" t="inlineStr">
        <is>
          <t>15373066000102</t>
        </is>
      </c>
      <c r="D499" t="inlineStr">
        <is>
          <t>JB CIMENTO</t>
        </is>
      </c>
      <c r="E499" t="inlineStr">
        <is>
          <t>CIMENTO</t>
        </is>
      </c>
      <c r="G499" s="64" t="n">
        <v>2088</v>
      </c>
      <c r="H499" t="n">
        <v>1</v>
      </c>
      <c r="I499" s="64" t="n">
        <v>2088</v>
      </c>
      <c r="J499" s="39" t="n">
        <v>45757</v>
      </c>
      <c r="K499" t="inlineStr">
        <is>
          <t>MAT</t>
        </is>
      </c>
      <c r="L499" t="inlineStr">
        <is>
          <t>-</t>
        </is>
      </c>
      <c r="N499">
        <f>IF(F499="","NÃO","SIM")</f>
        <v/>
      </c>
      <c r="O499">
        <f>IF($B499=5,"SIM","")</f>
        <v/>
      </c>
      <c r="P499" s="81">
        <f>A499&amp;B499&amp;C499&amp;E499&amp;G499&amp;EDATE(J499,0)</f>
        <v/>
      </c>
      <c r="Q499" s="71">
        <f>IF(A499=0,"",VLOOKUP($A499,RESUMO!$A$8:$B$83,2,FALSE))</f>
        <v/>
      </c>
    </row>
    <row r="500">
      <c r="A500" s="39" t="n">
        <v>45752</v>
      </c>
      <c r="B500" s="53" t="n">
        <v>4</v>
      </c>
      <c r="C500" t="inlineStr">
        <is>
          <t>37052904870</t>
        </is>
      </c>
      <c r="D500" t="inlineStr">
        <is>
          <t>VR AREIA E BRITA</t>
        </is>
      </c>
      <c r="E500" t="inlineStr">
        <is>
          <t>GASOLINA - REEMBOLSO VINICIUS SANTANA RINALDI</t>
        </is>
      </c>
      <c r="G500" s="64" t="n">
        <v>95.98</v>
      </c>
      <c r="H500" t="n">
        <v>1</v>
      </c>
      <c r="I500" s="64" t="n">
        <v>95.98</v>
      </c>
      <c r="J500" s="39" t="n">
        <v>45747</v>
      </c>
      <c r="K500" t="inlineStr">
        <is>
          <t>MAT</t>
        </is>
      </c>
      <c r="L500" t="inlineStr">
        <is>
          <t>PIX: 31987111139</t>
        </is>
      </c>
      <c r="M500" t="inlineStr">
        <is>
          <t xml:space="preserve">POSTO CATALÃO COMERCIAL
</t>
        </is>
      </c>
      <c r="N500">
        <f>IF(F500="","NÃO","SIM")</f>
        <v/>
      </c>
      <c r="O500">
        <f>IF($B500=5,"SIM","")</f>
        <v/>
      </c>
      <c r="P500" s="81">
        <f>A500&amp;B500&amp;C500&amp;E500&amp;G500&amp;EDATE(J500,0)</f>
        <v/>
      </c>
      <c r="Q500" s="71">
        <f>IF(A500=0,"",VLOOKUP($A500,RESUMO!$A$8:$B$83,2,FALSE))</f>
        <v/>
      </c>
    </row>
    <row r="501">
      <c r="A501" s="39" t="n">
        <v>45752</v>
      </c>
      <c r="B501" s="53" t="n">
        <v>5</v>
      </c>
      <c r="C501" t="inlineStr">
        <is>
          <t>13938283000169</t>
        </is>
      </c>
      <c r="D501" t="inlineStr">
        <is>
          <t>BETON MIX</t>
        </is>
      </c>
      <c r="E501" t="inlineStr">
        <is>
          <t>CONCRETAGEM</t>
        </is>
      </c>
      <c r="F501" t="inlineStr">
        <is>
          <t>2445</t>
        </is>
      </c>
      <c r="G501" s="64" t="n">
        <v>28460</v>
      </c>
      <c r="H501" t="n">
        <v>1</v>
      </c>
      <c r="I501" s="64" t="n">
        <v>28460</v>
      </c>
      <c r="J501" s="39" t="n">
        <v>45740</v>
      </c>
      <c r="K501" t="inlineStr">
        <is>
          <t>MAT</t>
        </is>
      </c>
      <c r="L501" t="inlineStr">
        <is>
          <t>-</t>
        </is>
      </c>
      <c r="N501">
        <f>IF(F501="","NÃO","SIM")</f>
        <v/>
      </c>
      <c r="O501">
        <f>IF($B501=5,"SIM","")</f>
        <v/>
      </c>
      <c r="P501" s="81">
        <f>A501&amp;B501&amp;C501&amp;E501&amp;G501&amp;EDATE(J501,0)</f>
        <v/>
      </c>
      <c r="Q501" s="71">
        <f>IF(A501=0,"",VLOOKUP($A501,RESUMO!$A$8:$B$83,2,FALSE))</f>
        <v/>
      </c>
    </row>
    <row r="502">
      <c r="A502" s="39" t="n">
        <v>45752</v>
      </c>
      <c r="B502" s="53" t="n">
        <v>5</v>
      </c>
      <c r="C502" t="inlineStr">
        <is>
          <t>17581836000634</t>
        </is>
      </c>
      <c r="D502" t="inlineStr">
        <is>
          <t>LOJA DO PAULO</t>
        </is>
      </c>
      <c r="E502" t="inlineStr">
        <is>
          <t>ATLAS BROXA E ESCOVA AÇO</t>
        </is>
      </c>
      <c r="F502" t="inlineStr">
        <is>
          <t>35455</t>
        </is>
      </c>
      <c r="G502" s="64" t="n">
        <v>142.5</v>
      </c>
      <c r="H502" t="n">
        <v>1</v>
      </c>
      <c r="I502" s="64" t="n">
        <v>142.5</v>
      </c>
      <c r="J502" s="39" t="n">
        <v>45744</v>
      </c>
      <c r="K502" t="inlineStr">
        <is>
          <t>MAT</t>
        </is>
      </c>
      <c r="L502" t="inlineStr">
        <is>
          <t>-</t>
        </is>
      </c>
      <c r="N502">
        <f>IF(F502="","NÃO","SIM")</f>
        <v/>
      </c>
      <c r="O502">
        <f>IF($B502=5,"SIM","")</f>
        <v/>
      </c>
      <c r="P502" s="81">
        <f>A502&amp;B502&amp;C502&amp;E502&amp;G502&amp;EDATE(J502,0)</f>
        <v/>
      </c>
      <c r="Q502" s="71">
        <f>IF(A502=0,"",VLOOKUP($A502,RESUMO!$A$8:$B$83,2,FALSE))</f>
        <v/>
      </c>
    </row>
    <row r="503">
      <c r="A503" s="39" t="n">
        <v>45752</v>
      </c>
      <c r="B503" s="53" t="n">
        <v>5</v>
      </c>
      <c r="C503" t="inlineStr">
        <is>
          <t>42841924000160</t>
        </is>
      </c>
      <c r="D503" t="inlineStr">
        <is>
          <t>FERRAGENS SANTA MONICA LTDA</t>
        </is>
      </c>
      <c r="E503" t="inlineStr">
        <is>
          <t xml:space="preserve">TELAS PARA LAJE DE CHÃO - AGUARDANDO NF
</t>
        </is>
      </c>
      <c r="G503" s="64" t="n">
        <v>8000</v>
      </c>
      <c r="H503" t="n">
        <v>1</v>
      </c>
      <c r="I503" s="64" t="n">
        <v>8000</v>
      </c>
      <c r="J503" s="39" t="n">
        <v>45744</v>
      </c>
      <c r="K503" t="inlineStr">
        <is>
          <t>MAT</t>
        </is>
      </c>
      <c r="L503" t="inlineStr">
        <is>
          <t>-</t>
        </is>
      </c>
      <c r="N503">
        <f>IF(F503="","NÃO","SIM")</f>
        <v/>
      </c>
      <c r="O503">
        <f>IF($B503=5,"SIM","")</f>
        <v/>
      </c>
      <c r="P503" s="81">
        <f>A503&amp;B503&amp;C503&amp;E503&amp;G503&amp;EDATE(J503,0)</f>
        <v/>
      </c>
      <c r="Q503" s="71">
        <f>IF(A503=0,"",VLOOKUP($A503,RESUMO!$A$8:$B$83,2,FALSE))</f>
        <v/>
      </c>
    </row>
    <row r="504">
      <c r="A504" s="39" t="n">
        <v>45752</v>
      </c>
      <c r="B504" t="n">
        <v>3</v>
      </c>
      <c r="C504" t="inlineStr">
        <is>
          <t>00000011398</t>
        </is>
      </c>
      <c r="D504" t="inlineStr">
        <is>
          <t>FOLHA DP</t>
        </is>
      </c>
      <c r="E504" t="inlineStr">
        <is>
          <t>COMPETENCIA 03/2025</t>
        </is>
      </c>
      <c r="G504" s="64" t="n">
        <v>910.8000000000001</v>
      </c>
      <c r="H504" t="n">
        <v>1</v>
      </c>
      <c r="I504" s="64" t="n">
        <v>910.8000000000001</v>
      </c>
      <c r="J504" s="39" t="n">
        <v>45751</v>
      </c>
      <c r="K504" t="inlineStr">
        <is>
          <t>MO</t>
        </is>
      </c>
      <c r="L504" t="inlineStr">
        <is>
          <t>PIX: 31995901635</t>
        </is>
      </c>
      <c r="M504" t="inlineStr">
        <is>
          <t>LANÇAMENTO AUTOMÁTICO</t>
        </is>
      </c>
      <c r="N504">
        <f>IF(F504="","NÃO","SIM")</f>
        <v/>
      </c>
      <c r="O504">
        <f>IF($B504=5,"SIM","")</f>
        <v/>
      </c>
      <c r="P504" s="81">
        <f>A504&amp;B504&amp;C504&amp;E504&amp;G504&amp;EDATE(J504,0)</f>
        <v/>
      </c>
      <c r="Q504" s="71">
        <f>IF(A504=0,"",VLOOKUP($A504,RESUMO!$A$8:$B$83,2,FALSE))</f>
        <v/>
      </c>
    </row>
    <row r="505">
      <c r="A505" s="50" t="n">
        <v>45752</v>
      </c>
      <c r="B505" s="71" t="n">
        <v>1</v>
      </c>
      <c r="C505" s="48" t="inlineStr">
        <is>
          <t>07573876670</t>
        </is>
      </c>
      <c r="D505" s="76" t="inlineStr">
        <is>
          <t>BRUNO JUNIO DA SILVA</t>
        </is>
      </c>
      <c r="E505" s="77" t="inlineStr">
        <is>
          <t>SALÁRIO</t>
        </is>
      </c>
      <c r="G505" s="78" t="n">
        <v>2553.63</v>
      </c>
      <c r="H505" s="79" t="n">
        <v>1</v>
      </c>
      <c r="I505" s="78" t="n">
        <v>2553.63</v>
      </c>
      <c r="J505" s="39" t="n">
        <v>45752</v>
      </c>
      <c r="K505" s="52" t="inlineStr">
        <is>
          <t>MO</t>
        </is>
      </c>
      <c r="L505" s="71" t="inlineStr">
        <is>
          <t>PIX: 07573876670</t>
        </is>
      </c>
      <c r="N505">
        <f>IF(F505="","NÃO","SIM")</f>
        <v/>
      </c>
      <c r="O505">
        <f>IF($B505=5,"SIM","")</f>
        <v/>
      </c>
      <c r="P505" s="81">
        <f>A505&amp;B505&amp;C505&amp;E505&amp;G505&amp;EDATE(J505,0)</f>
        <v/>
      </c>
      <c r="Q505" s="71">
        <f>IF(A505=0,"",VLOOKUP($A505,RESUMO!$A$8:$B$83,2,FALSE))</f>
        <v/>
      </c>
    </row>
    <row r="506">
      <c r="A506" s="50" t="n">
        <v>45752</v>
      </c>
      <c r="B506" s="71" t="n">
        <v>1</v>
      </c>
      <c r="C506" s="48" t="inlineStr">
        <is>
          <t>00354432605</t>
        </is>
      </c>
      <c r="D506" s="76" t="inlineStr">
        <is>
          <t>ANTONIO DUTRA DE FREITAS</t>
        </is>
      </c>
      <c r="E506" s="77" t="inlineStr">
        <is>
          <t>SALÁRIO</t>
        </is>
      </c>
      <c r="G506" s="78" t="n">
        <v>1493.8</v>
      </c>
      <c r="H506" s="79" t="n">
        <v>1</v>
      </c>
      <c r="I506" s="78" t="n">
        <v>1493.8</v>
      </c>
      <c r="J506" s="39" t="n">
        <v>45752</v>
      </c>
      <c r="K506" s="52" t="inlineStr">
        <is>
          <t>MO</t>
        </is>
      </c>
      <c r="L506" s="71" t="inlineStr">
        <is>
          <t>PIX: 31982618378</t>
        </is>
      </c>
      <c r="N506">
        <f>IF(F506="","NÃO","SIM")</f>
        <v/>
      </c>
      <c r="O506">
        <f>IF($B506=5,"SIM","")</f>
        <v/>
      </c>
      <c r="P506" s="81">
        <f>A506&amp;B506&amp;C506&amp;E506&amp;G506&amp;EDATE(J506,0)</f>
        <v/>
      </c>
      <c r="Q506" s="71">
        <f>IF(A506=0,"",VLOOKUP($A506,RESUMO!$A$8:$B$83,2,FALSE))</f>
        <v/>
      </c>
    </row>
    <row r="507">
      <c r="A507" s="50" t="n">
        <v>45752</v>
      </c>
      <c r="B507" s="71" t="n">
        <v>1</v>
      </c>
      <c r="C507" s="48" t="inlineStr">
        <is>
          <t>07249031600</t>
        </is>
      </c>
      <c r="D507" s="76" t="inlineStr">
        <is>
          <t>EDER PEREIRA DA SILVA</t>
        </is>
      </c>
      <c r="E507" s="77" t="inlineStr">
        <is>
          <t>SALÁRIO</t>
        </is>
      </c>
      <c r="G507" s="78" t="n">
        <v>1493.8</v>
      </c>
      <c r="H507" s="79" t="n">
        <v>1</v>
      </c>
      <c r="I507" s="78" t="n">
        <v>1493.8</v>
      </c>
      <c r="J507" s="39" t="n">
        <v>45752</v>
      </c>
      <c r="K507" s="52" t="inlineStr">
        <is>
          <t>MO</t>
        </is>
      </c>
      <c r="L507" s="71" t="inlineStr">
        <is>
          <t>PIX: 07249031600</t>
        </is>
      </c>
      <c r="N507">
        <f>IF(F507="","NÃO","SIM")</f>
        <v/>
      </c>
      <c r="O507">
        <f>IF($B507=5,"SIM","")</f>
        <v/>
      </c>
      <c r="P507" s="81">
        <f>A507&amp;B507&amp;C507&amp;E507&amp;G507&amp;EDATE(J507,0)</f>
        <v/>
      </c>
      <c r="Q507" s="71">
        <f>IF(A507=0,"",VLOOKUP($A507,RESUMO!$A$8:$B$83,2,FALSE))</f>
        <v/>
      </c>
    </row>
    <row r="508">
      <c r="A508" s="50" t="n">
        <v>45752</v>
      </c>
      <c r="B508" s="71" t="n">
        <v>1</v>
      </c>
      <c r="C508" s="48" t="inlineStr">
        <is>
          <t>14758063613</t>
        </is>
      </c>
      <c r="D508" s="76" t="inlineStr">
        <is>
          <t>IZAEL BISPO OLIVEIRA</t>
        </is>
      </c>
      <c r="E508" s="77" t="inlineStr">
        <is>
          <t>SALÁRIO</t>
        </is>
      </c>
      <c r="G508" s="78" t="n">
        <v>1233.68</v>
      </c>
      <c r="H508" s="79" t="n">
        <v>1</v>
      </c>
      <c r="I508" s="78" t="n">
        <v>1233.68</v>
      </c>
      <c r="J508" s="39" t="n">
        <v>45752</v>
      </c>
      <c r="K508" s="52" t="inlineStr">
        <is>
          <t>MO</t>
        </is>
      </c>
      <c r="L508" s="71" t="inlineStr">
        <is>
          <t>PIX: 14758063613</t>
        </is>
      </c>
      <c r="N508">
        <f>IF(F508="","NÃO","SIM")</f>
        <v/>
      </c>
      <c r="O508">
        <f>IF($B508=5,"SIM","")</f>
        <v/>
      </c>
      <c r="P508" s="81">
        <f>A508&amp;B508&amp;C508&amp;E508&amp;G508&amp;EDATE(J508,0)</f>
        <v/>
      </c>
      <c r="Q508" s="71">
        <f>IF(A508=0,"",VLOOKUP($A508,RESUMO!$A$8:$B$83,2,FALSE))</f>
        <v/>
      </c>
    </row>
    <row r="509">
      <c r="A509" s="50" t="n">
        <v>45752</v>
      </c>
      <c r="B509" s="71" t="n">
        <v>1</v>
      </c>
      <c r="C509" s="48" t="inlineStr">
        <is>
          <t>85086894387</t>
        </is>
      </c>
      <c r="D509" s="76" t="inlineStr">
        <is>
          <t>ROBERVAL PORTACIO DOS SANTOS</t>
        </is>
      </c>
      <c r="E509" s="77" t="inlineStr">
        <is>
          <t>SALÁRIO</t>
        </is>
      </c>
      <c r="G509" s="78" t="n">
        <v>778.1</v>
      </c>
      <c r="H509" s="79" t="n">
        <v>1</v>
      </c>
      <c r="I509" s="78" t="n">
        <v>778.1</v>
      </c>
      <c r="J509" s="39" t="n">
        <v>45752</v>
      </c>
      <c r="K509" s="52" t="inlineStr">
        <is>
          <t>MO</t>
        </is>
      </c>
      <c r="L509" s="71" t="inlineStr">
        <is>
          <t>PIX: 31971706400</t>
        </is>
      </c>
      <c r="N509">
        <f>IF(F509="","NÃO","SIM")</f>
        <v/>
      </c>
      <c r="O509">
        <f>IF($B509=5,"SIM","")</f>
        <v/>
      </c>
      <c r="P509" s="81">
        <f>A509&amp;B509&amp;C509&amp;E509&amp;G509&amp;EDATE(J509,0)</f>
        <v/>
      </c>
      <c r="Q509" s="71">
        <f>IF(A509=0,"",VLOOKUP($A509,RESUMO!$A$8:$B$83,2,FALSE))</f>
        <v/>
      </c>
    </row>
    <row r="510">
      <c r="A510" s="50" t="n">
        <v>45752</v>
      </c>
      <c r="B510" s="71" t="n">
        <v>1</v>
      </c>
      <c r="C510" s="48" t="inlineStr">
        <is>
          <t>87942119653</t>
        </is>
      </c>
      <c r="D510" s="76" t="inlineStr">
        <is>
          <t>DOMINGOS DA SILVA LIMA</t>
        </is>
      </c>
      <c r="E510" s="77" t="inlineStr">
        <is>
          <t>SALÁRIO</t>
        </is>
      </c>
      <c r="G510" s="78" t="n">
        <v>880.08</v>
      </c>
      <c r="H510" s="79" t="n">
        <v>1</v>
      </c>
      <c r="I510" s="78" t="n">
        <v>880.08</v>
      </c>
      <c r="J510" s="39" t="n">
        <v>45752</v>
      </c>
      <c r="K510" s="52" t="inlineStr">
        <is>
          <t>MO</t>
        </is>
      </c>
      <c r="L510" s="71" t="inlineStr">
        <is>
          <t>CAIXA - 13 - 892 - 00113057-1 - 87942119653</t>
        </is>
      </c>
      <c r="N510">
        <f>IF(F510="","NÃO","SIM")</f>
        <v/>
      </c>
      <c r="O510">
        <f>IF($B510=5,"SIM","")</f>
        <v/>
      </c>
      <c r="P510" s="81">
        <f>A510&amp;B510&amp;C510&amp;E510&amp;G510&amp;EDATE(J510,0)</f>
        <v/>
      </c>
      <c r="Q510" s="71">
        <f>IF(A510=0,"",VLOOKUP($A510,RESUMO!$A$8:$B$83,2,FALSE))</f>
        <v/>
      </c>
    </row>
    <row r="511">
      <c r="A511" s="50" t="n">
        <v>45752</v>
      </c>
      <c r="B511" s="71" t="n">
        <v>1</v>
      </c>
      <c r="C511" s="48" t="inlineStr">
        <is>
          <t>75746980315</t>
        </is>
      </c>
      <c r="D511" s="76" t="inlineStr">
        <is>
          <t>FRANCISCO REGO DA SILVA</t>
        </is>
      </c>
      <c r="E511" s="77" t="inlineStr">
        <is>
          <t>SALÁRIO</t>
        </is>
      </c>
      <c r="G511" s="78" t="n">
        <v>1271.76</v>
      </c>
      <c r="H511" s="79" t="n">
        <v>1</v>
      </c>
      <c r="I511" s="78" t="n">
        <v>1271.76</v>
      </c>
      <c r="J511" s="39" t="n">
        <v>45752</v>
      </c>
      <c r="K511" s="52" t="inlineStr">
        <is>
          <t>MO</t>
        </is>
      </c>
      <c r="L511" s="71" t="inlineStr">
        <is>
          <t>PIX: 75746980315</t>
        </is>
      </c>
      <c r="N511">
        <f>IF(F511="","NÃO","SIM")</f>
        <v/>
      </c>
      <c r="O511">
        <f>IF($B511=5,"SIM","")</f>
        <v/>
      </c>
      <c r="P511" s="81">
        <f>A511&amp;B511&amp;C511&amp;E511&amp;G511&amp;EDATE(J511,0)</f>
        <v/>
      </c>
      <c r="Q511" s="71">
        <f>IF(A511=0,"",VLOOKUP($A511,RESUMO!$A$8:$B$83,2,FALSE))</f>
        <v/>
      </c>
    </row>
    <row r="512">
      <c r="A512" s="50" t="n">
        <v>45752</v>
      </c>
      <c r="B512" s="71" t="n">
        <v>1</v>
      </c>
      <c r="C512" s="48" t="inlineStr">
        <is>
          <t>01980098603</t>
        </is>
      </c>
      <c r="D512" s="76" t="inlineStr">
        <is>
          <t>LUCAS CATALUNHA DA SILVA</t>
        </is>
      </c>
      <c r="E512" s="77" t="inlineStr">
        <is>
          <t>SALÁRIO</t>
        </is>
      </c>
      <c r="G512" s="78" t="n">
        <v>778.1</v>
      </c>
      <c r="H512" s="79" t="n">
        <v>1</v>
      </c>
      <c r="I512" s="78" t="n">
        <v>778.1</v>
      </c>
      <c r="J512" s="39" t="n">
        <v>45752</v>
      </c>
      <c r="K512" s="52" t="inlineStr">
        <is>
          <t>MO</t>
        </is>
      </c>
      <c r="L512" s="71" t="inlineStr">
        <is>
          <t>PIX: 01980098603</t>
        </is>
      </c>
      <c r="N512">
        <f>IF(F512="","NÃO","SIM")</f>
        <v/>
      </c>
      <c r="O512">
        <f>IF($B512=5,"SIM","")</f>
        <v/>
      </c>
      <c r="P512" s="81">
        <f>A512&amp;B512&amp;C512&amp;E512&amp;G512&amp;EDATE(J512,0)</f>
        <v/>
      </c>
      <c r="Q512" s="71">
        <f>IF(A512=0,"",VLOOKUP($A512,RESUMO!$A$8:$B$83,2,FALSE))</f>
        <v/>
      </c>
    </row>
    <row r="513">
      <c r="A513" s="50" t="n">
        <v>45752</v>
      </c>
      <c r="B513" s="71" t="n">
        <v>1</v>
      </c>
      <c r="C513" s="48" t="inlineStr">
        <is>
          <t>00000012793</t>
        </is>
      </c>
      <c r="D513" s="76" t="inlineStr">
        <is>
          <t>BRUNO RODRIGUES DOS SANTOS</t>
        </is>
      </c>
      <c r="E513" s="77" t="inlineStr">
        <is>
          <t>SALÁRIO</t>
        </is>
      </c>
      <c r="G513" s="78" t="n">
        <v>1047.83</v>
      </c>
      <c r="H513" s="79" t="n">
        <v>1</v>
      </c>
      <c r="I513" s="78" t="n">
        <v>1047.83</v>
      </c>
      <c r="J513" s="39" t="n">
        <v>45752</v>
      </c>
      <c r="K513" s="52" t="inlineStr">
        <is>
          <t>MO</t>
        </is>
      </c>
      <c r="L513" s="71" t="inlineStr">
        <is>
          <t>PIX: 31999187222</t>
        </is>
      </c>
      <c r="N513">
        <f>IF(F513="","NÃO","SIM")</f>
        <v/>
      </c>
      <c r="O513">
        <f>IF($B513=5,"SIM","")</f>
        <v/>
      </c>
      <c r="P513" s="81">
        <f>A513&amp;B513&amp;C513&amp;E513&amp;G513&amp;EDATE(J513,0)</f>
        <v/>
      </c>
      <c r="Q513" s="71">
        <f>IF(A513=0,"",VLOOKUP($A513,RESUMO!$A$8:$B$83,2,FALSE))</f>
        <v/>
      </c>
    </row>
    <row r="514">
      <c r="A514" s="50" t="n">
        <v>45752</v>
      </c>
      <c r="B514" s="71" t="n">
        <v>1</v>
      </c>
      <c r="C514" s="48" t="inlineStr">
        <is>
          <t>02038736375</t>
        </is>
      </c>
      <c r="D514" s="76" t="inlineStr">
        <is>
          <t>MARCELO FERNANDES DE ALMEIDA</t>
        </is>
      </c>
      <c r="E514" s="77" t="inlineStr">
        <is>
          <t>SALÁRIO</t>
        </is>
      </c>
      <c r="G514" s="78" t="n">
        <v>1493.8</v>
      </c>
      <c r="H514" s="79" t="n">
        <v>1</v>
      </c>
      <c r="I514" s="78" t="n">
        <v>1493.8</v>
      </c>
      <c r="J514" s="39" t="n">
        <v>45752</v>
      </c>
      <c r="K514" s="52" t="inlineStr">
        <is>
          <t>MO</t>
        </is>
      </c>
      <c r="L514" s="71" t="inlineStr">
        <is>
          <t>PIX: 31 994629438</t>
        </is>
      </c>
      <c r="N514">
        <f>IF(F514="","NÃO","SIM")</f>
        <v/>
      </c>
      <c r="O514">
        <f>IF($B514=5,"SIM","")</f>
        <v/>
      </c>
      <c r="P514" s="81">
        <f>A514&amp;B514&amp;C514&amp;E514&amp;G514&amp;EDATE(J514,0)</f>
        <v/>
      </c>
      <c r="Q514" s="71">
        <f>IF(A514=0,"",VLOOKUP($A514,RESUMO!$A$8:$B$83,2,FALSE))</f>
        <v/>
      </c>
    </row>
    <row r="515">
      <c r="A515" s="50" t="n">
        <v>45752</v>
      </c>
      <c r="B515" s="71" t="n">
        <v>1</v>
      </c>
      <c r="C515" s="48" t="inlineStr">
        <is>
          <t>07573876670</t>
        </is>
      </c>
      <c r="D515" s="76" t="inlineStr">
        <is>
          <t>BRUNO JUNIO DA SILVA</t>
        </is>
      </c>
      <c r="E515" s="77" t="inlineStr">
        <is>
          <t>TRANSPORTE</t>
        </is>
      </c>
      <c r="G515" s="78" t="n">
        <v>43.2</v>
      </c>
      <c r="H515" s="79" t="n">
        <v>15</v>
      </c>
      <c r="I515" s="78" t="n">
        <v>648</v>
      </c>
      <c r="J515" s="39" t="n">
        <v>45752</v>
      </c>
      <c r="K515" s="52" t="inlineStr">
        <is>
          <t>MO</t>
        </is>
      </c>
      <c r="L515" s="71" t="inlineStr">
        <is>
          <t>PIX: 07573876670</t>
        </is>
      </c>
      <c r="N515">
        <f>IF(F515="","NÃO","SIM")</f>
        <v/>
      </c>
      <c r="O515">
        <f>IF($B515=5,"SIM","")</f>
        <v/>
      </c>
      <c r="P515" s="81">
        <f>A515&amp;B515&amp;C515&amp;E515&amp;G515&amp;EDATE(J515,0)</f>
        <v/>
      </c>
      <c r="Q515" s="71">
        <f>IF(A515=0,"",VLOOKUP($A515,RESUMO!$A$8:$B$83,2,FALSE))</f>
        <v/>
      </c>
    </row>
    <row r="516">
      <c r="A516" s="50" t="n">
        <v>45752</v>
      </c>
      <c r="B516" s="71" t="n">
        <v>1</v>
      </c>
      <c r="C516" s="48" t="inlineStr">
        <is>
          <t>00354432605</t>
        </is>
      </c>
      <c r="D516" s="76" t="inlineStr">
        <is>
          <t>ANTONIO DUTRA DE FREITAS</t>
        </is>
      </c>
      <c r="E516" s="77" t="inlineStr">
        <is>
          <t>TRANSPORTE</t>
        </is>
      </c>
      <c r="G516" s="78" t="n">
        <v>43.2</v>
      </c>
      <c r="H516" s="79" t="n">
        <v>20</v>
      </c>
      <c r="I516" s="78" t="n">
        <v>864</v>
      </c>
      <c r="J516" s="39" t="n">
        <v>45752</v>
      </c>
      <c r="K516" s="52" t="inlineStr">
        <is>
          <t>MO</t>
        </is>
      </c>
      <c r="L516" s="71" t="inlineStr">
        <is>
          <t>PIX: 31982618378</t>
        </is>
      </c>
      <c r="N516">
        <f>IF(F516="","NÃO","SIM")</f>
        <v/>
      </c>
      <c r="O516">
        <f>IF($B516=5,"SIM","")</f>
        <v/>
      </c>
      <c r="P516" s="81">
        <f>A516&amp;B516&amp;C516&amp;E516&amp;G516&amp;EDATE(J516,0)</f>
        <v/>
      </c>
      <c r="Q516" s="71">
        <f>IF(A516=0,"",VLOOKUP($A516,RESUMO!$A$8:$B$83,2,FALSE))</f>
        <v/>
      </c>
    </row>
    <row r="517">
      <c r="A517" s="50" t="n">
        <v>45752</v>
      </c>
      <c r="B517" s="71" t="n">
        <v>1</v>
      </c>
      <c r="C517" s="48" t="inlineStr">
        <is>
          <t>07249031600</t>
        </is>
      </c>
      <c r="D517" s="76" t="inlineStr">
        <is>
          <t>EDER PEREIRA DA SILVA</t>
        </is>
      </c>
      <c r="E517" s="77" t="inlineStr">
        <is>
          <t>TRANSPORTE</t>
        </is>
      </c>
      <c r="G517" s="78" t="n">
        <v>43.2</v>
      </c>
      <c r="H517" s="79" t="n">
        <v>20</v>
      </c>
      <c r="I517" s="78" t="n">
        <v>864</v>
      </c>
      <c r="J517" s="39" t="n">
        <v>45752</v>
      </c>
      <c r="K517" s="52" t="inlineStr">
        <is>
          <t>MO</t>
        </is>
      </c>
      <c r="L517" s="71" t="inlineStr">
        <is>
          <t>PIX: 07249031600</t>
        </is>
      </c>
      <c r="N517">
        <f>IF(F517="","NÃO","SIM")</f>
        <v/>
      </c>
      <c r="O517">
        <f>IF($B517=5,"SIM","")</f>
        <v/>
      </c>
      <c r="P517" s="81">
        <f>A517&amp;B517&amp;C517&amp;E517&amp;G517&amp;EDATE(J517,0)</f>
        <v/>
      </c>
      <c r="Q517" s="71">
        <f>IF(A517=0,"",VLOOKUP($A517,RESUMO!$A$8:$B$83,2,FALSE))</f>
        <v/>
      </c>
    </row>
    <row r="518">
      <c r="A518" s="50" t="n">
        <v>45752</v>
      </c>
      <c r="B518" s="71" t="n">
        <v>1</v>
      </c>
      <c r="C518" s="48" t="inlineStr">
        <is>
          <t>14758063613</t>
        </is>
      </c>
      <c r="D518" s="76" t="inlineStr">
        <is>
          <t>IZAEL BISPO OLIVEIRA</t>
        </is>
      </c>
      <c r="E518" s="77" t="inlineStr">
        <is>
          <t>TRANSPORTE</t>
        </is>
      </c>
      <c r="G518" s="78" t="n">
        <v>44.8</v>
      </c>
      <c r="H518" s="79" t="n">
        <v>17</v>
      </c>
      <c r="I518" s="78" t="n">
        <v>761.5999999999999</v>
      </c>
      <c r="J518" s="39" t="n">
        <v>45752</v>
      </c>
      <c r="K518" s="52" t="inlineStr">
        <is>
          <t>MO</t>
        </is>
      </c>
      <c r="L518" s="71" t="inlineStr">
        <is>
          <t>PIX: 14758063613</t>
        </is>
      </c>
      <c r="N518">
        <f>IF(F518="","NÃO","SIM")</f>
        <v/>
      </c>
      <c r="O518">
        <f>IF($B518=5,"SIM","")</f>
        <v/>
      </c>
      <c r="P518" s="81">
        <f>A518&amp;B518&amp;C518&amp;E518&amp;G518&amp;EDATE(J518,0)</f>
        <v/>
      </c>
      <c r="Q518" s="71">
        <f>IF(A518=0,"",VLOOKUP($A518,RESUMO!$A$8:$B$83,2,FALSE))</f>
        <v/>
      </c>
    </row>
    <row r="519">
      <c r="A519" s="50" t="n">
        <v>45752</v>
      </c>
      <c r="B519" s="71" t="n">
        <v>1</v>
      </c>
      <c r="C519" s="48" t="inlineStr">
        <is>
          <t>85086894387</t>
        </is>
      </c>
      <c r="D519" s="76" t="inlineStr">
        <is>
          <t>ROBERVAL PORTACIO DOS SANTOS</t>
        </is>
      </c>
      <c r="E519" s="77" t="inlineStr">
        <is>
          <t>TRANSPORTE</t>
        </is>
      </c>
      <c r="G519" s="78" t="n">
        <v>43.2</v>
      </c>
      <c r="H519" s="79" t="n">
        <v>18</v>
      </c>
      <c r="I519" s="78" t="n">
        <v>777.6</v>
      </c>
      <c r="J519" s="39" t="n">
        <v>45752</v>
      </c>
      <c r="K519" s="52" t="inlineStr">
        <is>
          <t>MO</t>
        </is>
      </c>
      <c r="L519" s="71" t="inlineStr">
        <is>
          <t>PIX: 31971706400</t>
        </is>
      </c>
      <c r="N519">
        <f>IF(F519="","NÃO","SIM")</f>
        <v/>
      </c>
      <c r="O519">
        <f>IF($B519=5,"SIM","")</f>
        <v/>
      </c>
      <c r="P519" s="81">
        <f>A519&amp;B519&amp;C519&amp;E519&amp;G519&amp;EDATE(J519,0)</f>
        <v/>
      </c>
      <c r="Q519" s="71">
        <f>IF(A519=0,"",VLOOKUP($A519,RESUMO!$A$8:$B$83,2,FALSE))</f>
        <v/>
      </c>
    </row>
    <row r="520">
      <c r="A520" s="50" t="n">
        <v>45752</v>
      </c>
      <c r="B520" s="71" t="n">
        <v>1</v>
      </c>
      <c r="C520" s="48" t="inlineStr">
        <is>
          <t>87942119653</t>
        </is>
      </c>
      <c r="D520" s="76" t="inlineStr">
        <is>
          <t>DOMINGOS DA SILVA LIMA</t>
        </is>
      </c>
      <c r="E520" s="77" t="inlineStr">
        <is>
          <t>TRANSPORTE</t>
        </is>
      </c>
      <c r="G520" s="78" t="n">
        <v>43.2</v>
      </c>
      <c r="H520" s="79" t="n">
        <v>20</v>
      </c>
      <c r="I520" s="78" t="n">
        <v>864</v>
      </c>
      <c r="J520" s="39" t="n">
        <v>45752</v>
      </c>
      <c r="K520" s="52" t="inlineStr">
        <is>
          <t>MO</t>
        </is>
      </c>
      <c r="L520" s="71" t="inlineStr">
        <is>
          <t>CAIXA - 13 - 892 - 00113057-1 - 87942119653</t>
        </is>
      </c>
      <c r="N520">
        <f>IF(F520="","NÃO","SIM")</f>
        <v/>
      </c>
      <c r="O520">
        <f>IF($B520=5,"SIM","")</f>
        <v/>
      </c>
      <c r="P520" s="81">
        <f>A520&amp;B520&amp;C520&amp;E520&amp;G520&amp;EDATE(J520,0)</f>
        <v/>
      </c>
      <c r="Q520" s="71">
        <f>IF(A520=0,"",VLOOKUP($A520,RESUMO!$A$8:$B$83,2,FALSE))</f>
        <v/>
      </c>
    </row>
    <row r="521">
      <c r="A521" s="50" t="n">
        <v>45752</v>
      </c>
      <c r="B521" s="71" t="n">
        <v>1</v>
      </c>
      <c r="C521" s="48" t="inlineStr">
        <is>
          <t>75746980315</t>
        </is>
      </c>
      <c r="D521" s="76" t="inlineStr">
        <is>
          <t>FRANCISCO REGO DA SILVA</t>
        </is>
      </c>
      <c r="E521" s="77" t="inlineStr">
        <is>
          <t>TRANSPORTE</t>
        </is>
      </c>
      <c r="G521" s="78" t="n">
        <v>43.2</v>
      </c>
      <c r="H521" s="79" t="n">
        <v>20</v>
      </c>
      <c r="I521" s="78" t="n">
        <v>864</v>
      </c>
      <c r="J521" s="39" t="n">
        <v>45752</v>
      </c>
      <c r="K521" s="52" t="inlineStr">
        <is>
          <t>MO</t>
        </is>
      </c>
      <c r="L521" s="71" t="inlineStr">
        <is>
          <t>PIX: 75746980315</t>
        </is>
      </c>
      <c r="N521">
        <f>IF(F521="","NÃO","SIM")</f>
        <v/>
      </c>
      <c r="O521">
        <f>IF($B521=5,"SIM","")</f>
        <v/>
      </c>
      <c r="P521" s="81">
        <f>A521&amp;B521&amp;C521&amp;E521&amp;G521&amp;EDATE(J521,0)</f>
        <v/>
      </c>
      <c r="Q521" s="71">
        <f>IF(A521=0,"",VLOOKUP($A521,RESUMO!$A$8:$B$83,2,FALSE))</f>
        <v/>
      </c>
    </row>
    <row r="522">
      <c r="A522" s="50" t="n">
        <v>45752</v>
      </c>
      <c r="B522" s="71" t="n">
        <v>1</v>
      </c>
      <c r="C522" s="48" t="inlineStr">
        <is>
          <t>01980098603</t>
        </is>
      </c>
      <c r="D522" s="76" t="inlineStr">
        <is>
          <t>LUCAS CATALUNHA DA SILVA</t>
        </is>
      </c>
      <c r="E522" s="77" t="inlineStr">
        <is>
          <t>TRANSPORTE</t>
        </is>
      </c>
      <c r="G522" s="78" t="n">
        <v>43.2</v>
      </c>
      <c r="H522" s="79" t="n">
        <v>18</v>
      </c>
      <c r="I522" s="78" t="n">
        <v>777.6</v>
      </c>
      <c r="J522" s="39" t="n">
        <v>45752</v>
      </c>
      <c r="K522" s="52" t="inlineStr">
        <is>
          <t>MO</t>
        </is>
      </c>
      <c r="L522" s="71" t="inlineStr">
        <is>
          <t>PIX: 01980098603</t>
        </is>
      </c>
      <c r="N522">
        <f>IF(F522="","NÃO","SIM")</f>
        <v/>
      </c>
      <c r="O522">
        <f>IF($B522=5,"SIM","")</f>
        <v/>
      </c>
      <c r="P522" s="81">
        <f>A522&amp;B522&amp;C522&amp;E522&amp;G522&amp;EDATE(J522,0)</f>
        <v/>
      </c>
      <c r="Q522" s="71">
        <f>IF(A522=0,"",VLOOKUP($A522,RESUMO!$A$8:$B$83,2,FALSE))</f>
        <v/>
      </c>
    </row>
    <row r="523">
      <c r="A523" s="50" t="n">
        <v>45752</v>
      </c>
      <c r="B523" s="71" t="n">
        <v>1</v>
      </c>
      <c r="C523" s="48" t="inlineStr">
        <is>
          <t>00000012793</t>
        </is>
      </c>
      <c r="D523" s="76" t="inlineStr">
        <is>
          <t>BRUNO RODRIGUES DOS SANTOS</t>
        </is>
      </c>
      <c r="E523" s="77" t="inlineStr">
        <is>
          <t>TRANSPORTE</t>
        </is>
      </c>
      <c r="G523" s="78" t="n">
        <v>44</v>
      </c>
      <c r="H523" s="79" t="n">
        <v>19</v>
      </c>
      <c r="I523" s="78" t="n">
        <v>836</v>
      </c>
      <c r="J523" s="39" t="n">
        <v>45752</v>
      </c>
      <c r="K523" s="52" t="inlineStr">
        <is>
          <t>MO</t>
        </is>
      </c>
      <c r="L523" s="71" t="inlineStr">
        <is>
          <t>PIX: 31999187222</t>
        </is>
      </c>
      <c r="N523">
        <f>IF(F523="","NÃO","SIM")</f>
        <v/>
      </c>
      <c r="O523">
        <f>IF($B523=5,"SIM","")</f>
        <v/>
      </c>
      <c r="P523" s="81">
        <f>A523&amp;B523&amp;C523&amp;E523&amp;G523&amp;EDATE(J523,0)</f>
        <v/>
      </c>
      <c r="Q523" s="71">
        <f>IF(A523=0,"",VLOOKUP($A523,RESUMO!$A$8:$B$83,2,FALSE))</f>
        <v/>
      </c>
    </row>
    <row r="524">
      <c r="A524" s="50" t="n">
        <v>45752</v>
      </c>
      <c r="B524" s="71" t="n">
        <v>1</v>
      </c>
      <c r="C524" s="48" t="inlineStr">
        <is>
          <t>02038736375</t>
        </is>
      </c>
      <c r="D524" s="76" t="inlineStr">
        <is>
          <t>MARCELO FERNANDES DE ALMEIDA</t>
        </is>
      </c>
      <c r="E524" s="77" t="inlineStr">
        <is>
          <t>TRANSPORTE</t>
        </is>
      </c>
      <c r="G524" s="78" t="n">
        <v>45.7</v>
      </c>
      <c r="H524" s="79" t="n">
        <v>19</v>
      </c>
      <c r="I524" s="78" t="n">
        <v>868.3000000000001</v>
      </c>
      <c r="J524" s="39" t="n">
        <v>45752</v>
      </c>
      <c r="K524" s="52" t="inlineStr">
        <is>
          <t>MO</t>
        </is>
      </c>
      <c r="L524" s="71" t="inlineStr">
        <is>
          <t>PIX: 31 994629438</t>
        </is>
      </c>
      <c r="N524">
        <f>IF(F524="","NÃO","SIM")</f>
        <v/>
      </c>
      <c r="O524">
        <f>IF($B524=5,"SIM","")</f>
        <v/>
      </c>
      <c r="P524" s="81">
        <f>A524&amp;B524&amp;C524&amp;E524&amp;G524&amp;EDATE(J524,0)</f>
        <v/>
      </c>
      <c r="Q524" s="71">
        <f>IF(A524=0,"",VLOOKUP($A524,RESUMO!$A$8:$B$83,2,FALSE))</f>
        <v/>
      </c>
    </row>
    <row r="525">
      <c r="A525" s="50" t="n">
        <v>45752</v>
      </c>
      <c r="B525" s="71" t="n">
        <v>1</v>
      </c>
      <c r="C525" s="48" t="inlineStr">
        <is>
          <t>07573876670</t>
        </is>
      </c>
      <c r="D525" s="76" t="inlineStr">
        <is>
          <t>BRUNO JUNIO DA SILVA</t>
        </is>
      </c>
      <c r="E525" s="77" t="inlineStr">
        <is>
          <t>CAFÉ</t>
        </is>
      </c>
      <c r="G525" s="78" t="n">
        <v>6</v>
      </c>
      <c r="H525" s="79" t="n">
        <v>15</v>
      </c>
      <c r="I525" s="78" t="n">
        <v>90</v>
      </c>
      <c r="J525" s="39" t="n">
        <v>45752</v>
      </c>
      <c r="K525" s="52" t="inlineStr">
        <is>
          <t>MO</t>
        </is>
      </c>
      <c r="L525" s="71" t="inlineStr">
        <is>
          <t>PIX: 07573876670</t>
        </is>
      </c>
      <c r="N525">
        <f>IF(F525="","NÃO","SIM")</f>
        <v/>
      </c>
      <c r="O525">
        <f>IF($B525=5,"SIM","")</f>
        <v/>
      </c>
      <c r="P525" s="81">
        <f>A525&amp;B525&amp;C525&amp;E525&amp;G525&amp;EDATE(J525,0)</f>
        <v/>
      </c>
      <c r="Q525" s="71">
        <f>IF(A525=0,"",VLOOKUP($A525,RESUMO!$A$8:$B$83,2,FALSE))</f>
        <v/>
      </c>
    </row>
    <row r="526">
      <c r="A526" s="50" t="n">
        <v>45752</v>
      </c>
      <c r="B526" s="71" t="n">
        <v>1</v>
      </c>
      <c r="C526" s="48" t="inlineStr">
        <is>
          <t>00354432605</t>
        </is>
      </c>
      <c r="D526" s="76" t="inlineStr">
        <is>
          <t>ANTONIO DUTRA DE FREITAS</t>
        </is>
      </c>
      <c r="E526" s="77" t="inlineStr">
        <is>
          <t>CAFÉ</t>
        </is>
      </c>
      <c r="G526" s="78" t="n">
        <v>6</v>
      </c>
      <c r="H526" s="79" t="n">
        <v>20</v>
      </c>
      <c r="I526" s="78" t="n">
        <v>120</v>
      </c>
      <c r="J526" s="39" t="n">
        <v>45752</v>
      </c>
      <c r="K526" s="52" t="inlineStr">
        <is>
          <t>MO</t>
        </is>
      </c>
      <c r="L526" s="71" t="inlineStr">
        <is>
          <t>PIX: 31982618378</t>
        </is>
      </c>
      <c r="N526">
        <f>IF(F526="","NÃO","SIM")</f>
        <v/>
      </c>
      <c r="O526">
        <f>IF($B526=5,"SIM","")</f>
        <v/>
      </c>
      <c r="P526" s="81">
        <f>A526&amp;B526&amp;C526&amp;E526&amp;G526&amp;EDATE(J526,0)</f>
        <v/>
      </c>
      <c r="Q526" s="71">
        <f>IF(A526=0,"",VLOOKUP($A526,RESUMO!$A$8:$B$83,2,FALSE))</f>
        <v/>
      </c>
    </row>
    <row r="527">
      <c r="A527" s="50" t="n">
        <v>45752</v>
      </c>
      <c r="B527" s="71" t="n">
        <v>1</v>
      </c>
      <c r="C527" s="48" t="inlineStr">
        <is>
          <t>07249031600</t>
        </is>
      </c>
      <c r="D527" s="76" t="inlineStr">
        <is>
          <t>EDER PEREIRA DA SILVA</t>
        </is>
      </c>
      <c r="E527" s="77" t="inlineStr">
        <is>
          <t>CAFÉ</t>
        </is>
      </c>
      <c r="G527" s="78" t="n">
        <v>6</v>
      </c>
      <c r="H527" s="79" t="n">
        <v>20</v>
      </c>
      <c r="I527" s="78" t="n">
        <v>120</v>
      </c>
      <c r="J527" s="39" t="n">
        <v>45752</v>
      </c>
      <c r="K527" s="52" t="inlineStr">
        <is>
          <t>MO</t>
        </is>
      </c>
      <c r="L527" s="71" t="inlineStr">
        <is>
          <t>PIX: 07249031600</t>
        </is>
      </c>
      <c r="N527">
        <f>IF(F527="","NÃO","SIM")</f>
        <v/>
      </c>
      <c r="O527">
        <f>IF($B527=5,"SIM","")</f>
        <v/>
      </c>
      <c r="P527" s="81">
        <f>A527&amp;B527&amp;C527&amp;E527&amp;G527&amp;EDATE(J527,0)</f>
        <v/>
      </c>
      <c r="Q527" s="71">
        <f>IF(A527=0,"",VLOOKUP($A527,RESUMO!$A$8:$B$83,2,FALSE))</f>
        <v/>
      </c>
    </row>
    <row r="528">
      <c r="A528" s="50" t="n">
        <v>45752</v>
      </c>
      <c r="B528" s="71" t="n">
        <v>1</v>
      </c>
      <c r="C528" s="48" t="inlineStr">
        <is>
          <t>14758063613</t>
        </is>
      </c>
      <c r="D528" s="76" t="inlineStr">
        <is>
          <t>IZAEL BISPO OLIVEIRA</t>
        </is>
      </c>
      <c r="E528" s="77" t="inlineStr">
        <is>
          <t>CAFÉ</t>
        </is>
      </c>
      <c r="G528" s="78" t="n">
        <v>6</v>
      </c>
      <c r="H528" s="79" t="n">
        <v>17</v>
      </c>
      <c r="I528" s="78" t="n">
        <v>102</v>
      </c>
      <c r="J528" s="39" t="n">
        <v>45752</v>
      </c>
      <c r="K528" s="52" t="inlineStr">
        <is>
          <t>MO</t>
        </is>
      </c>
      <c r="L528" s="71" t="inlineStr">
        <is>
          <t>PIX: 14758063613</t>
        </is>
      </c>
      <c r="N528">
        <f>IF(F528="","NÃO","SIM")</f>
        <v/>
      </c>
      <c r="O528">
        <f>IF($B528=5,"SIM","")</f>
        <v/>
      </c>
      <c r="P528" s="81">
        <f>A528&amp;B528&amp;C528&amp;E528&amp;G528&amp;EDATE(J528,0)</f>
        <v/>
      </c>
      <c r="Q528" s="71">
        <f>IF(A528=0,"",VLOOKUP($A528,RESUMO!$A$8:$B$83,2,FALSE))</f>
        <v/>
      </c>
    </row>
    <row r="529">
      <c r="A529" s="50" t="n">
        <v>45752</v>
      </c>
      <c r="B529" s="71" t="n">
        <v>1</v>
      </c>
      <c r="C529" s="48" t="inlineStr">
        <is>
          <t>85086894387</t>
        </is>
      </c>
      <c r="D529" s="76" t="inlineStr">
        <is>
          <t>ROBERVAL PORTACIO DOS SANTOS</t>
        </is>
      </c>
      <c r="E529" s="77" t="inlineStr">
        <is>
          <t>CAFÉ</t>
        </is>
      </c>
      <c r="G529" s="78" t="n">
        <v>6</v>
      </c>
      <c r="H529" s="79" t="n">
        <v>18</v>
      </c>
      <c r="I529" s="78" t="n">
        <v>108</v>
      </c>
      <c r="J529" s="39" t="n">
        <v>45752</v>
      </c>
      <c r="K529" s="52" t="inlineStr">
        <is>
          <t>MO</t>
        </is>
      </c>
      <c r="L529" s="71" t="inlineStr">
        <is>
          <t>PIX: 31971706400</t>
        </is>
      </c>
      <c r="N529">
        <f>IF(F529="","NÃO","SIM")</f>
        <v/>
      </c>
      <c r="O529">
        <f>IF($B529=5,"SIM","")</f>
        <v/>
      </c>
      <c r="P529" s="81">
        <f>A529&amp;B529&amp;C529&amp;E529&amp;G529&amp;EDATE(J529,0)</f>
        <v/>
      </c>
      <c r="Q529" s="71">
        <f>IF(A529=0,"",VLOOKUP($A529,RESUMO!$A$8:$B$83,2,FALSE))</f>
        <v/>
      </c>
    </row>
    <row r="530">
      <c r="A530" s="50" t="n">
        <v>45752</v>
      </c>
      <c r="B530" s="71" t="n">
        <v>1</v>
      </c>
      <c r="C530" s="48" t="inlineStr">
        <is>
          <t>87942119653</t>
        </is>
      </c>
      <c r="D530" s="76" t="inlineStr">
        <is>
          <t>DOMINGOS DA SILVA LIMA</t>
        </is>
      </c>
      <c r="E530" s="77" t="inlineStr">
        <is>
          <t>CAFÉ</t>
        </is>
      </c>
      <c r="G530" s="78" t="n">
        <v>6</v>
      </c>
      <c r="H530" s="79" t="n">
        <v>20</v>
      </c>
      <c r="I530" s="78" t="n">
        <v>120</v>
      </c>
      <c r="J530" s="39" t="n">
        <v>45752</v>
      </c>
      <c r="K530" s="52" t="inlineStr">
        <is>
          <t>MO</t>
        </is>
      </c>
      <c r="L530" s="71" t="inlineStr">
        <is>
          <t>CAIXA - 13 - 892 - 00113057-1 - 87942119653</t>
        </is>
      </c>
      <c r="N530">
        <f>IF(F530="","NÃO","SIM")</f>
        <v/>
      </c>
      <c r="O530">
        <f>IF($B530=5,"SIM","")</f>
        <v/>
      </c>
      <c r="P530" s="81">
        <f>A530&amp;B530&amp;C530&amp;E530&amp;G530&amp;EDATE(J530,0)</f>
        <v/>
      </c>
      <c r="Q530" s="71">
        <f>IF(A530=0,"",VLOOKUP($A530,RESUMO!$A$8:$B$83,2,FALSE))</f>
        <v/>
      </c>
    </row>
    <row r="531">
      <c r="A531" s="50" t="n">
        <v>45752</v>
      </c>
      <c r="B531" s="71" t="n">
        <v>1</v>
      </c>
      <c r="C531" s="48" t="inlineStr">
        <is>
          <t>75746980315</t>
        </is>
      </c>
      <c r="D531" s="76" t="inlineStr">
        <is>
          <t>FRANCISCO REGO DA SILVA</t>
        </is>
      </c>
      <c r="E531" s="77" t="inlineStr">
        <is>
          <t>CAFÉ</t>
        </is>
      </c>
      <c r="G531" s="78" t="n">
        <v>6</v>
      </c>
      <c r="H531" s="79" t="n">
        <v>20</v>
      </c>
      <c r="I531" s="78" t="n">
        <v>120</v>
      </c>
      <c r="J531" s="39" t="n">
        <v>45752</v>
      </c>
      <c r="K531" s="52" t="inlineStr">
        <is>
          <t>MO</t>
        </is>
      </c>
      <c r="L531" s="71" t="inlineStr">
        <is>
          <t>PIX: 75746980315</t>
        </is>
      </c>
      <c r="N531">
        <f>IF(F531="","NÃO","SIM")</f>
        <v/>
      </c>
      <c r="O531">
        <f>IF($B531=5,"SIM","")</f>
        <v/>
      </c>
      <c r="P531" s="81">
        <f>A531&amp;B531&amp;C531&amp;E531&amp;G531&amp;EDATE(J531,0)</f>
        <v/>
      </c>
      <c r="Q531" s="71">
        <f>IF(A531=0,"",VLOOKUP($A531,RESUMO!$A$8:$B$83,2,FALSE))</f>
        <v/>
      </c>
    </row>
    <row r="532">
      <c r="A532" s="50" t="n">
        <v>45752</v>
      </c>
      <c r="B532" s="71" t="n">
        <v>1</v>
      </c>
      <c r="C532" s="48" t="inlineStr">
        <is>
          <t>01980098603</t>
        </is>
      </c>
      <c r="D532" s="76" t="inlineStr">
        <is>
          <t>LUCAS CATALUNHA DA SILVA</t>
        </is>
      </c>
      <c r="E532" s="77" t="inlineStr">
        <is>
          <t>CAFÉ</t>
        </is>
      </c>
      <c r="G532" s="78" t="n">
        <v>6</v>
      </c>
      <c r="H532" s="79" t="n">
        <v>18</v>
      </c>
      <c r="I532" s="78" t="n">
        <v>108</v>
      </c>
      <c r="J532" s="39" t="n">
        <v>45752</v>
      </c>
      <c r="K532" s="52" t="inlineStr">
        <is>
          <t>MO</t>
        </is>
      </c>
      <c r="L532" s="71" t="inlineStr">
        <is>
          <t>PIX: 01980098603</t>
        </is>
      </c>
      <c r="N532">
        <f>IF(F532="","NÃO","SIM")</f>
        <v/>
      </c>
      <c r="O532">
        <f>IF($B532=5,"SIM","")</f>
        <v/>
      </c>
      <c r="P532" s="81">
        <f>A532&amp;B532&amp;C532&amp;E532&amp;G532&amp;EDATE(J532,0)</f>
        <v/>
      </c>
      <c r="Q532" s="71">
        <f>IF(A532=0,"",VLOOKUP($A532,RESUMO!$A$8:$B$83,2,FALSE))</f>
        <v/>
      </c>
    </row>
    <row r="533">
      <c r="A533" s="50" t="n">
        <v>45752</v>
      </c>
      <c r="B533" s="71" t="n">
        <v>1</v>
      </c>
      <c r="C533" s="48" t="inlineStr">
        <is>
          <t>00000012793</t>
        </is>
      </c>
      <c r="D533" s="76" t="inlineStr">
        <is>
          <t>BRUNO RODRIGUES DOS SANTOS</t>
        </is>
      </c>
      <c r="E533" s="77" t="inlineStr">
        <is>
          <t>CAFÉ</t>
        </is>
      </c>
      <c r="G533" s="78" t="n">
        <v>6</v>
      </c>
      <c r="H533" s="79" t="n">
        <v>19</v>
      </c>
      <c r="I533" s="78" t="n">
        <v>114</v>
      </c>
      <c r="J533" s="39" t="n">
        <v>45752</v>
      </c>
      <c r="K533" s="52" t="inlineStr">
        <is>
          <t>MO</t>
        </is>
      </c>
      <c r="L533" s="71" t="inlineStr">
        <is>
          <t>PIX: 31999187222</t>
        </is>
      </c>
      <c r="N533">
        <f>IF(F533="","NÃO","SIM")</f>
        <v/>
      </c>
      <c r="O533">
        <f>IF($B533=5,"SIM","")</f>
        <v/>
      </c>
      <c r="P533" s="81">
        <f>A533&amp;B533&amp;C533&amp;E533&amp;G533&amp;EDATE(J533,0)</f>
        <v/>
      </c>
      <c r="Q533" s="71">
        <f>IF(A533=0,"",VLOOKUP($A533,RESUMO!$A$8:$B$83,2,FALSE))</f>
        <v/>
      </c>
    </row>
    <row r="534">
      <c r="A534" s="50" t="n">
        <v>45752</v>
      </c>
      <c r="B534" s="71" t="n">
        <v>1</v>
      </c>
      <c r="C534" s="48" t="inlineStr">
        <is>
          <t>02038736375</t>
        </is>
      </c>
      <c r="D534" s="76" t="inlineStr">
        <is>
          <t>MARCELO FERNANDES DE ALMEIDA</t>
        </is>
      </c>
      <c r="E534" s="77" t="inlineStr">
        <is>
          <t>CAFÉ</t>
        </is>
      </c>
      <c r="G534" s="78" t="n">
        <v>6</v>
      </c>
      <c r="H534" s="79" t="n">
        <v>19</v>
      </c>
      <c r="I534" s="78" t="n">
        <v>114</v>
      </c>
      <c r="J534" s="39" t="n">
        <v>45752</v>
      </c>
      <c r="K534" s="52" t="inlineStr">
        <is>
          <t>MO</t>
        </is>
      </c>
      <c r="L534" s="71" t="inlineStr">
        <is>
          <t>PIX: 31 994629438</t>
        </is>
      </c>
      <c r="N534">
        <f>IF(F534="","NÃO","SIM")</f>
        <v/>
      </c>
      <c r="O534">
        <f>IF($B534=5,"SIM","")</f>
        <v/>
      </c>
      <c r="P534" s="81">
        <f>A534&amp;B534&amp;C534&amp;E534&amp;G534&amp;EDATE(J534,0)</f>
        <v/>
      </c>
      <c r="Q534" s="71">
        <f>IF(A534=0,"",VLOOKUP($A534,RESUMO!$A$8:$B$83,2,FALSE))</f>
        <v/>
      </c>
    </row>
    <row r="535">
      <c r="A535" s="39" t="n">
        <v>45752</v>
      </c>
      <c r="B535" t="n">
        <v>7</v>
      </c>
      <c r="C535" t="inlineStr">
        <is>
          <t>30104762000107</t>
        </is>
      </c>
      <c r="D535" t="inlineStr">
        <is>
          <t>VASCONCELOS &amp; RINALDI ENGENHARIA</t>
        </is>
      </c>
      <c r="E535" t="inlineStr">
        <is>
          <t>ADM. OBRA REF. 1ª QUINZ. 04/2025</t>
        </is>
      </c>
      <c r="G535" s="64" t="n">
        <v>13317.84480000001</v>
      </c>
      <c r="H535" t="n">
        <v>1</v>
      </c>
      <c r="I535" s="64" t="n">
        <v>13317.84480000001</v>
      </c>
      <c r="J535" s="39" t="n">
        <v>45754</v>
      </c>
      <c r="K535" t="inlineStr">
        <is>
          <t>ADM</t>
        </is>
      </c>
      <c r="L535" t="inlineStr">
        <is>
          <t>PIX: 30104762000107</t>
        </is>
      </c>
      <c r="M535" t="inlineStr">
        <is>
          <t>LANÇAMENTO AUTOMÁTICO</t>
        </is>
      </c>
    </row>
    <row r="536">
      <c r="A536" s="39" t="n">
        <v>45767</v>
      </c>
      <c r="B536" s="53" t="n">
        <v>1</v>
      </c>
      <c r="C536" t="inlineStr">
        <is>
          <t>00354432605</t>
        </is>
      </c>
      <c r="D536" t="inlineStr">
        <is>
          <t>ANTONIO DUTRA DE FREITAS</t>
        </is>
      </c>
      <c r="E536" t="inlineStr">
        <is>
          <t>SALÁRIO</t>
        </is>
      </c>
      <c r="G536" s="64" t="n">
        <v>1156</v>
      </c>
      <c r="H536" t="n">
        <v>1</v>
      </c>
      <c r="I536" s="64" t="n">
        <v>1156</v>
      </c>
      <c r="J536" s="39" t="n">
        <v>45767</v>
      </c>
      <c r="K536" t="inlineStr">
        <is>
          <t>MO</t>
        </is>
      </c>
      <c r="L536" t="inlineStr">
        <is>
          <t>Celular: 31982618378</t>
        </is>
      </c>
      <c r="M536" t="inlineStr">
        <is>
          <t>IMPORTADO RH - SALÁRIO</t>
        </is>
      </c>
    </row>
    <row r="537">
      <c r="A537" s="39" t="n">
        <v>45767</v>
      </c>
      <c r="B537" s="53" t="n">
        <v>1</v>
      </c>
      <c r="C537" t="inlineStr">
        <is>
          <t>07573876670</t>
        </is>
      </c>
      <c r="D537" t="inlineStr">
        <is>
          <t>BRUNO JUNIO DA SILVA</t>
        </is>
      </c>
      <c r="E537" t="inlineStr">
        <is>
          <t>SALÁRIO</t>
        </is>
      </c>
      <c r="G537" s="64" t="n">
        <v>2719.6</v>
      </c>
      <c r="H537" t="n">
        <v>1</v>
      </c>
      <c r="I537" s="64" t="n">
        <v>2719.6</v>
      </c>
      <c r="J537" s="39" t="n">
        <v>45767</v>
      </c>
      <c r="K537" t="inlineStr">
        <is>
          <t>MO</t>
        </is>
      </c>
      <c r="L537" t="inlineStr">
        <is>
          <t>CPF: 075.738.766-70</t>
        </is>
      </c>
      <c r="M537" t="inlineStr">
        <is>
          <t>IMPORTADO RH - SALÁRIO</t>
        </is>
      </c>
    </row>
    <row r="538">
      <c r="A538" s="39" t="n">
        <v>45767</v>
      </c>
      <c r="B538" s="53" t="n">
        <v>1</v>
      </c>
      <c r="C538" t="inlineStr">
        <is>
          <t>13080665627</t>
        </is>
      </c>
      <c r="D538" t="inlineStr">
        <is>
          <t>BRUNO RODRIGUES DOS SANTOS</t>
        </is>
      </c>
      <c r="E538" t="inlineStr">
        <is>
          <t>SALÁRIO</t>
        </is>
      </c>
      <c r="G538" s="64" t="n">
        <v>1156</v>
      </c>
      <c r="H538" t="n">
        <v>1</v>
      </c>
      <c r="I538" s="64" t="n">
        <v>1156</v>
      </c>
      <c r="J538" s="39" t="n">
        <v>45767</v>
      </c>
      <c r="K538" t="inlineStr">
        <is>
          <t>MO</t>
        </is>
      </c>
      <c r="L538" t="inlineStr">
        <is>
          <t>Celular: 31999187222</t>
        </is>
      </c>
      <c r="M538" t="inlineStr">
        <is>
          <t>IMPORTADO RH - SALÁRIO</t>
        </is>
      </c>
    </row>
    <row r="539">
      <c r="A539" s="39" t="n">
        <v>45767</v>
      </c>
      <c r="B539" s="53" t="n">
        <v>1</v>
      </c>
      <c r="C539" t="inlineStr">
        <is>
          <t>07249031600</t>
        </is>
      </c>
      <c r="D539" t="inlineStr">
        <is>
          <t>EDER PEREIRA DA SILVA</t>
        </is>
      </c>
      <c r="E539" t="inlineStr">
        <is>
          <t>SALÁRIO</t>
        </is>
      </c>
      <c r="G539" s="64" t="n">
        <v>1156</v>
      </c>
      <c r="H539" t="n">
        <v>1</v>
      </c>
      <c r="I539" s="64" t="n">
        <v>1156</v>
      </c>
      <c r="J539" s="39" t="n">
        <v>45767</v>
      </c>
      <c r="K539" t="inlineStr">
        <is>
          <t>MO</t>
        </is>
      </c>
      <c r="L539" t="inlineStr">
        <is>
          <t>CPF: 072.490.316-00</t>
        </is>
      </c>
      <c r="M539" t="inlineStr">
        <is>
          <t>IMPORTADO RH - SALÁRIO</t>
        </is>
      </c>
    </row>
    <row r="540">
      <c r="A540" s="39" t="n">
        <v>45767</v>
      </c>
      <c r="B540" s="53" t="n">
        <v>1</v>
      </c>
      <c r="C540" t="inlineStr">
        <is>
          <t>75746980315</t>
        </is>
      </c>
      <c r="D540" t="inlineStr">
        <is>
          <t>FRANCISCO REGO DA SILVA</t>
        </is>
      </c>
      <c r="E540" t="inlineStr">
        <is>
          <t>SALÁRIO</t>
        </is>
      </c>
      <c r="G540" s="64" t="n">
        <v>979.6</v>
      </c>
      <c r="H540" t="n">
        <v>1</v>
      </c>
      <c r="I540" s="64" t="n">
        <v>979.6</v>
      </c>
      <c r="J540" s="39" t="n">
        <v>45767</v>
      </c>
      <c r="K540" t="inlineStr">
        <is>
          <t>MO</t>
        </is>
      </c>
      <c r="L540" t="inlineStr">
        <is>
          <t>CPF: 757.469.803-15</t>
        </is>
      </c>
      <c r="M540" t="inlineStr">
        <is>
          <t>IMPORTADO RH - SALÁRIO</t>
        </is>
      </c>
    </row>
    <row r="541">
      <c r="A541" s="39" t="n">
        <v>45767</v>
      </c>
      <c r="B541" s="53" t="n">
        <v>1</v>
      </c>
      <c r="C541" t="inlineStr">
        <is>
          <t>14758063613</t>
        </is>
      </c>
      <c r="D541" t="inlineStr">
        <is>
          <t>IZAEL BISPO SILVA OLIVEIRA</t>
        </is>
      </c>
      <c r="E541" t="inlineStr">
        <is>
          <t>SALÁRIO</t>
        </is>
      </c>
      <c r="G541" s="64" t="n">
        <v>1156</v>
      </c>
      <c r="H541" t="n">
        <v>1</v>
      </c>
      <c r="I541" s="64" t="n">
        <v>1156</v>
      </c>
      <c r="J541" s="39" t="n">
        <v>45767</v>
      </c>
      <c r="K541" t="inlineStr">
        <is>
          <t>MO</t>
        </is>
      </c>
      <c r="L541" t="inlineStr">
        <is>
          <t>CPF: 147.580.636-13</t>
        </is>
      </c>
      <c r="M541" t="inlineStr">
        <is>
          <t>IMPORTADO RH - SALÁRIO</t>
        </is>
      </c>
    </row>
    <row r="542">
      <c r="A542" s="39" t="n">
        <v>45767</v>
      </c>
      <c r="B542" s="53" t="n">
        <v>1</v>
      </c>
      <c r="C542" t="inlineStr">
        <is>
          <t>01980098603</t>
        </is>
      </c>
      <c r="D542" t="inlineStr">
        <is>
          <t>LUCAS CATALUNHA DA SILVA</t>
        </is>
      </c>
      <c r="E542" t="inlineStr">
        <is>
          <t>SALÁRIO</t>
        </is>
      </c>
      <c r="G542" s="64" t="n">
        <v>672.4</v>
      </c>
      <c r="H542" t="n">
        <v>1</v>
      </c>
      <c r="I542" s="64" t="n">
        <v>672.4</v>
      </c>
      <c r="J542" s="39" t="n">
        <v>45767</v>
      </c>
      <c r="K542" t="inlineStr">
        <is>
          <t>MO</t>
        </is>
      </c>
      <c r="L542" t="inlineStr">
        <is>
          <t>CPF: 019.800.986-03</t>
        </is>
      </c>
      <c r="M542" t="inlineStr">
        <is>
          <t>IMPORTADO RH - SALÁRIO</t>
        </is>
      </c>
    </row>
    <row r="543">
      <c r="A543" s="39" t="n">
        <v>45767</v>
      </c>
      <c r="B543" s="53" t="n">
        <v>1</v>
      </c>
      <c r="C543" t="inlineStr">
        <is>
          <t>85086894387</t>
        </is>
      </c>
      <c r="D543" t="inlineStr">
        <is>
          <t>ROBERVAL PORTACIO DOS SANTOS</t>
        </is>
      </c>
      <c r="E543" t="inlineStr">
        <is>
          <t>SALÁRIO</t>
        </is>
      </c>
      <c r="G543" s="64" t="n">
        <v>672.4</v>
      </c>
      <c r="H543" t="n">
        <v>1</v>
      </c>
      <c r="I543" s="64" t="n">
        <v>672.4</v>
      </c>
      <c r="J543" s="39" t="n">
        <v>45767</v>
      </c>
      <c r="K543" t="inlineStr">
        <is>
          <t>MO</t>
        </is>
      </c>
      <c r="L543" t="inlineStr">
        <is>
          <t>Celular: 31971706400</t>
        </is>
      </c>
      <c r="M543" t="inlineStr">
        <is>
          <t>IMPORTADO RH - SALÁRIO</t>
        </is>
      </c>
    </row>
    <row r="544">
      <c r="A544" s="39" t="n">
        <v>45767</v>
      </c>
      <c r="B544" s="53" t="n">
        <v>1</v>
      </c>
      <c r="C544" t="inlineStr">
        <is>
          <t>87942119653</t>
        </is>
      </c>
      <c r="D544" t="inlineStr">
        <is>
          <t>DOMINGOS DA SILVA LIMA</t>
        </is>
      </c>
      <c r="E544" t="inlineStr">
        <is>
          <t>SALÁRIO</t>
        </is>
      </c>
      <c r="G544" s="64" t="n">
        <v>672.4</v>
      </c>
      <c r="H544" t="n">
        <v>1</v>
      </c>
      <c r="I544" s="64" t="n">
        <v>672.4</v>
      </c>
      <c r="J544" s="39" t="n">
        <v>45767</v>
      </c>
      <c r="K544" t="inlineStr">
        <is>
          <t>MO</t>
        </is>
      </c>
      <c r="L544" t="inlineStr">
        <is>
          <t>CAIXA - 0892 - 00113057-1 - 879.421.196-53</t>
        </is>
      </c>
      <c r="M544" t="inlineStr">
        <is>
          <t>IMPORTADO RH - SALÁRIO</t>
        </is>
      </c>
    </row>
    <row r="545">
      <c r="A545" s="39" t="n">
        <v>45767</v>
      </c>
      <c r="B545" s="53" t="n">
        <v>1</v>
      </c>
      <c r="C545" t="inlineStr">
        <is>
          <t>02038736375</t>
        </is>
      </c>
      <c r="D545" t="inlineStr">
        <is>
          <t>MARCELO FERNANDES DE ALMEIDA</t>
        </is>
      </c>
      <c r="E545" t="inlineStr">
        <is>
          <t>RESCISÃO</t>
        </is>
      </c>
      <c r="G545" s="64" t="n">
        <v>1196.12</v>
      </c>
      <c r="H545" t="n">
        <v>1</v>
      </c>
      <c r="I545" s="64" t="n">
        <v>1196.12</v>
      </c>
      <c r="J545" s="39" t="n">
        <v>45764</v>
      </c>
      <c r="K545" t="inlineStr">
        <is>
          <t>MO</t>
        </is>
      </c>
      <c r="L545" t="inlineStr">
        <is>
          <t>PIX: 02038736375</t>
        </is>
      </c>
    </row>
    <row r="546">
      <c r="A546" s="39" t="n">
        <v>45767</v>
      </c>
      <c r="B546" s="53" t="n">
        <v>1</v>
      </c>
      <c r="C546" t="inlineStr">
        <is>
          <t>36404993600</t>
        </is>
      </c>
      <c r="D546" t="inlineStr">
        <is>
          <t xml:space="preserve">NIVALDO DA SILVA </t>
        </is>
      </c>
      <c r="E546" t="inlineStr">
        <is>
          <t>DIÁRIA</t>
        </is>
      </c>
      <c r="G546" s="64" t="n">
        <v>270</v>
      </c>
      <c r="H546" t="n">
        <v>11</v>
      </c>
      <c r="I546" s="64" t="n">
        <v>2970</v>
      </c>
      <c r="J546" s="39" t="n">
        <v>45767</v>
      </c>
      <c r="K546" t="inlineStr">
        <is>
          <t>MO</t>
        </is>
      </c>
      <c r="L546" t="inlineStr">
        <is>
          <t>PIX: 36404993600</t>
        </is>
      </c>
    </row>
    <row r="547">
      <c r="A547" s="39" t="n">
        <v>45767</v>
      </c>
      <c r="B547" s="53" t="n">
        <v>2</v>
      </c>
      <c r="C547" t="inlineStr">
        <is>
          <t>37052904870</t>
        </is>
      </c>
      <c r="D547" t="inlineStr">
        <is>
          <t>VR AREIA E BRITA</t>
        </is>
      </c>
      <c r="E547" t="inlineStr">
        <is>
          <t>BRITA E AREIA - PED. 5129/5134/5135</t>
        </is>
      </c>
      <c r="G547" s="64" t="n">
        <v>4950</v>
      </c>
      <c r="H547" t="n">
        <v>1</v>
      </c>
      <c r="I547" s="64" t="n">
        <v>4950</v>
      </c>
      <c r="J547" s="39" t="n">
        <v>45764</v>
      </c>
      <c r="K547" t="inlineStr">
        <is>
          <t>MAT</t>
        </is>
      </c>
      <c r="L547" t="inlineStr">
        <is>
          <t>PIX: 31987111139</t>
        </is>
      </c>
    </row>
    <row r="548">
      <c r="A548" s="39" t="n">
        <v>45767</v>
      </c>
      <c r="B548" s="53" t="n">
        <v>2</v>
      </c>
      <c r="C548" t="inlineStr">
        <is>
          <t>00000011045</t>
        </is>
      </c>
      <c r="D548" t="inlineStr">
        <is>
          <t>MHS EVENTO SST ESOCIAL</t>
        </is>
      </c>
      <c r="E548" t="inlineStr">
        <is>
          <t>REF. 03/2025</t>
        </is>
      </c>
      <c r="G548" s="64" t="n">
        <v>122.8</v>
      </c>
      <c r="H548" t="n">
        <v>1</v>
      </c>
      <c r="I548" s="64" t="n">
        <v>122.8</v>
      </c>
      <c r="J548" s="39" t="n">
        <v>45764</v>
      </c>
      <c r="K548" t="inlineStr">
        <is>
          <t>MO</t>
        </is>
      </c>
      <c r="L548" t="inlineStr">
        <is>
          <t>PIX: 31995901635</t>
        </is>
      </c>
    </row>
    <row r="549">
      <c r="A549" s="39" t="n">
        <v>45767</v>
      </c>
      <c r="B549" s="53" t="n">
        <v>3</v>
      </c>
      <c r="C549" t="inlineStr">
        <is>
          <t>17250275000348</t>
        </is>
      </c>
      <c r="D549" t="inlineStr">
        <is>
          <t xml:space="preserve">CASA FERREIRA GONÇALVES </t>
        </is>
      </c>
      <c r="E549" t="inlineStr">
        <is>
          <t>MATERIAL HIDRÁULICO</t>
        </is>
      </c>
      <c r="F549" t="inlineStr">
        <is>
          <t>506400</t>
        </is>
      </c>
      <c r="G549" s="64" t="n">
        <v>3862.55</v>
      </c>
      <c r="H549" t="n">
        <v>1</v>
      </c>
      <c r="I549" s="64" t="n">
        <v>3862.55</v>
      </c>
      <c r="J549" s="39" t="n">
        <v>45775</v>
      </c>
      <c r="K549" t="inlineStr">
        <is>
          <t>MAT</t>
        </is>
      </c>
      <c r="L549" t="inlineStr">
        <is>
          <t>-</t>
        </is>
      </c>
    </row>
    <row r="550">
      <c r="A550" s="39" t="n">
        <v>45767</v>
      </c>
      <c r="B550" s="53" t="n">
        <v>3</v>
      </c>
      <c r="C550" t="inlineStr">
        <is>
          <t>34713151000109</t>
        </is>
      </c>
      <c r="D550" t="inlineStr">
        <is>
          <t>CONSULTARELABCON</t>
        </is>
      </c>
      <c r="E550" t="inlineStr">
        <is>
          <t>ALUGUEL DE FORMAS E KITS SLUMP - FL 16776</t>
        </is>
      </c>
      <c r="G550" s="64" t="n">
        <v>395</v>
      </c>
      <c r="H550" t="n">
        <v>1</v>
      </c>
      <c r="I550" s="64" t="n">
        <v>395</v>
      </c>
      <c r="J550" s="39" t="n">
        <v>45771</v>
      </c>
      <c r="K550" t="inlineStr">
        <is>
          <t>LOC</t>
        </is>
      </c>
      <c r="L550" t="inlineStr">
        <is>
          <t>-</t>
        </is>
      </c>
    </row>
    <row r="551">
      <c r="A551" s="39" t="n">
        <v>45767</v>
      </c>
      <c r="B551" s="53" t="n">
        <v>3</v>
      </c>
      <c r="C551" t="inlineStr">
        <is>
          <t>24200699000100</t>
        </is>
      </c>
      <c r="D551" t="inlineStr">
        <is>
          <t xml:space="preserve">ELITE EPIS </t>
        </is>
      </c>
      <c r="E551" t="inlineStr">
        <is>
          <t>EQUIPAMENTOS DE PROTEÇÃO</t>
        </is>
      </c>
      <c r="F551" t="inlineStr">
        <is>
          <t>118576</t>
        </is>
      </c>
      <c r="G551" s="64" t="n">
        <v>731</v>
      </c>
      <c r="H551" t="n">
        <v>1</v>
      </c>
      <c r="I551" s="64" t="n">
        <v>731</v>
      </c>
      <c r="J551" s="39" t="n">
        <v>45770</v>
      </c>
      <c r="K551" t="inlineStr">
        <is>
          <t>MO</t>
        </is>
      </c>
      <c r="L551" t="inlineStr">
        <is>
          <t>-</t>
        </is>
      </c>
    </row>
    <row r="552">
      <c r="A552" s="39" t="n">
        <v>45767</v>
      </c>
      <c r="B552" s="53" t="n">
        <v>3</v>
      </c>
      <c r="C552" t="inlineStr">
        <is>
          <t>00360305000104</t>
        </is>
      </c>
      <c r="D552" t="inlineStr">
        <is>
          <t>FGTS</t>
        </is>
      </c>
      <c r="E552" t="inlineStr">
        <is>
          <t>REF. 03/2025</t>
        </is>
      </c>
      <c r="G552" s="64" t="n">
        <v>2192.28</v>
      </c>
      <c r="H552" t="n">
        <v>1</v>
      </c>
      <c r="I552" s="64" t="n">
        <v>2192.28</v>
      </c>
      <c r="J552" s="39" t="n">
        <v>45764</v>
      </c>
      <c r="K552" t="inlineStr">
        <is>
          <t>MO</t>
        </is>
      </c>
      <c r="L552" t="inlineStr">
        <is>
          <t>-</t>
        </is>
      </c>
    </row>
    <row r="553">
      <c r="A553" s="39" t="n">
        <v>45767</v>
      </c>
      <c r="B553" s="53" t="n">
        <v>3</v>
      </c>
      <c r="C553" t="inlineStr">
        <is>
          <t>00360305000104</t>
        </is>
      </c>
      <c r="D553" t="inlineStr">
        <is>
          <t>FGTS</t>
        </is>
      </c>
      <c r="E553" t="inlineStr">
        <is>
          <t xml:space="preserve">FGTS RESCISÓRIO - MARCELO
</t>
        </is>
      </c>
      <c r="G553" s="64" t="n">
        <v>119.44</v>
      </c>
      <c r="H553" t="n">
        <v>1</v>
      </c>
      <c r="I553" s="64" t="n">
        <v>119.44</v>
      </c>
      <c r="J553" s="39" t="n">
        <v>45770</v>
      </c>
      <c r="K553" t="inlineStr">
        <is>
          <t>MO</t>
        </is>
      </c>
      <c r="L553" t="inlineStr">
        <is>
          <t>-</t>
        </is>
      </c>
    </row>
    <row r="554">
      <c r="A554" s="39" t="n">
        <v>45767</v>
      </c>
      <c r="B554" s="53" t="n">
        <v>3</v>
      </c>
      <c r="C554" t="inlineStr">
        <is>
          <t>00394460000141</t>
        </is>
      </c>
      <c r="D554" t="inlineStr">
        <is>
          <t>INSS/IRRF</t>
        </is>
      </c>
      <c r="E554" t="inlineStr">
        <is>
          <t>REF. 03/2025</t>
        </is>
      </c>
      <c r="G554" s="64" t="n">
        <v>10311.73</v>
      </c>
      <c r="H554" t="n">
        <v>1</v>
      </c>
      <c r="I554" s="64" t="n">
        <v>10311.73</v>
      </c>
      <c r="J554" s="39" t="n">
        <v>45764</v>
      </c>
      <c r="K554" t="inlineStr">
        <is>
          <t>MO</t>
        </is>
      </c>
      <c r="L554" t="inlineStr">
        <is>
          <t>-</t>
        </is>
      </c>
    </row>
    <row r="555">
      <c r="A555" s="39" t="n">
        <v>45767</v>
      </c>
      <c r="B555" s="53" t="n">
        <v>3</v>
      </c>
      <c r="C555" t="inlineStr">
        <is>
          <t>59073927000102</t>
        </is>
      </c>
      <c r="D555" t="inlineStr">
        <is>
          <t>IDEAL CESTAS DE ALIMENTOS</t>
        </is>
      </c>
      <c r="E555" t="inlineStr">
        <is>
          <t>CESTA BASICA</t>
        </is>
      </c>
      <c r="F555" t="inlineStr">
        <is>
          <t>128</t>
        </is>
      </c>
      <c r="G555" s="64" t="n">
        <v>3359.64</v>
      </c>
      <c r="H555" t="n">
        <v>1</v>
      </c>
      <c r="I555" s="64" t="n">
        <v>3359.64</v>
      </c>
      <c r="J555" s="39" t="n">
        <v>45775</v>
      </c>
      <c r="K555" t="inlineStr">
        <is>
          <t>MAT</t>
        </is>
      </c>
      <c r="L555" t="inlineStr">
        <is>
          <t>-</t>
        </is>
      </c>
    </row>
    <row r="556">
      <c r="A556" s="39" t="n">
        <v>45767</v>
      </c>
      <c r="B556" s="53" t="n">
        <v>3</v>
      </c>
      <c r="C556" t="inlineStr">
        <is>
          <t>15373066000102</t>
        </is>
      </c>
      <c r="D556" t="inlineStr">
        <is>
          <t>JB CIMENTO</t>
        </is>
      </c>
      <c r="E556" t="inlineStr">
        <is>
          <t>CIMENTO</t>
        </is>
      </c>
      <c r="F556" t="inlineStr">
        <is>
          <t>288026</t>
        </is>
      </c>
      <c r="G556" s="64" t="n">
        <v>1104</v>
      </c>
      <c r="H556" t="n">
        <v>1</v>
      </c>
      <c r="I556" s="64" t="n">
        <v>1104</v>
      </c>
      <c r="J556" s="39" t="n">
        <v>45776</v>
      </c>
      <c r="K556" t="inlineStr">
        <is>
          <t>MAT</t>
        </is>
      </c>
      <c r="L556" t="inlineStr">
        <is>
          <t>-</t>
        </is>
      </c>
    </row>
    <row r="557">
      <c r="A557" s="39" t="n">
        <v>45767</v>
      </c>
      <c r="B557" s="53" t="n">
        <v>3</v>
      </c>
      <c r="C557" t="inlineStr">
        <is>
          <t>07409393000130</t>
        </is>
      </c>
      <c r="D557" t="inlineStr">
        <is>
          <t>LOCFER</t>
        </is>
      </c>
      <c r="E557" t="inlineStr">
        <is>
          <t>ESMERILHADEIRA, MOTOR E MANGOTE</t>
        </is>
      </c>
      <c r="F557" t="inlineStr">
        <is>
          <t>28279</t>
        </is>
      </c>
      <c r="G557" s="64" t="n">
        <v>340</v>
      </c>
      <c r="H557" t="n">
        <v>1</v>
      </c>
      <c r="I557" s="64" t="n">
        <v>340</v>
      </c>
      <c r="J557" s="39" t="n">
        <v>45770</v>
      </c>
      <c r="K557" t="inlineStr">
        <is>
          <t>LOC</t>
        </is>
      </c>
      <c r="L557" t="inlineStr">
        <is>
          <t>-</t>
        </is>
      </c>
    </row>
    <row r="558">
      <c r="A558" s="39" t="n">
        <v>45767</v>
      </c>
      <c r="B558" s="53" t="n">
        <v>3</v>
      </c>
      <c r="C558" t="inlineStr">
        <is>
          <t>07409393000130</t>
        </is>
      </c>
      <c r="D558" t="inlineStr">
        <is>
          <t>LOCFER</t>
        </is>
      </c>
      <c r="E558" t="inlineStr">
        <is>
          <t>SERRA, POLICORTE, PLACA</t>
        </is>
      </c>
      <c r="F558" t="inlineStr">
        <is>
          <t>28391</t>
        </is>
      </c>
      <c r="G558" s="64" t="n">
        <v>1535</v>
      </c>
      <c r="H558" t="n">
        <v>1</v>
      </c>
      <c r="I558" s="64" t="n">
        <v>1535</v>
      </c>
      <c r="J558" s="39" t="n">
        <v>45775</v>
      </c>
      <c r="K558" t="inlineStr">
        <is>
          <t>LOC</t>
        </is>
      </c>
      <c r="L558" t="inlineStr">
        <is>
          <t>-</t>
        </is>
      </c>
    </row>
    <row r="559">
      <c r="A559" s="39" t="n">
        <v>45767</v>
      </c>
      <c r="B559" s="53" t="n">
        <v>3</v>
      </c>
      <c r="C559" t="inlineStr">
        <is>
          <t>07409393000130</t>
        </is>
      </c>
      <c r="D559" t="inlineStr">
        <is>
          <t>LOCFER</t>
        </is>
      </c>
      <c r="E559" t="inlineStr">
        <is>
          <t>SERRAS E MARTELO</t>
        </is>
      </c>
      <c r="F559" t="inlineStr">
        <is>
          <t>28467</t>
        </is>
      </c>
      <c r="G559" s="64" t="n">
        <v>930</v>
      </c>
      <c r="H559" t="n">
        <v>1</v>
      </c>
      <c r="I559" s="64" t="n">
        <v>930</v>
      </c>
      <c r="J559" s="39" t="n">
        <v>45782</v>
      </c>
      <c r="K559" t="inlineStr">
        <is>
          <t>LOC</t>
        </is>
      </c>
      <c r="L559" t="inlineStr">
        <is>
          <t>-</t>
        </is>
      </c>
    </row>
    <row r="560">
      <c r="A560" s="39" t="n">
        <v>45767</v>
      </c>
      <c r="B560" s="53" t="n">
        <v>3</v>
      </c>
      <c r="C560" t="inlineStr">
        <is>
          <t>17581836000634</t>
        </is>
      </c>
      <c r="D560" t="inlineStr">
        <is>
          <t>LOJA DO PAULO</t>
        </is>
      </c>
      <c r="E560" t="inlineStr">
        <is>
          <t>SERRA E MAKITA</t>
        </is>
      </c>
      <c r="F560" t="inlineStr">
        <is>
          <t>35655</t>
        </is>
      </c>
      <c r="G560" s="64" t="n">
        <v>613.5</v>
      </c>
      <c r="H560" t="n">
        <v>1</v>
      </c>
      <c r="I560" s="64" t="n">
        <v>613.5</v>
      </c>
      <c r="J560" s="39" t="n">
        <v>45779</v>
      </c>
      <c r="K560" t="inlineStr">
        <is>
          <t>MAT</t>
        </is>
      </c>
      <c r="L560" t="inlineStr">
        <is>
          <t>-</t>
        </is>
      </c>
    </row>
    <row r="561">
      <c r="A561" s="39" t="n">
        <v>45767</v>
      </c>
      <c r="B561" s="53" t="n">
        <v>3</v>
      </c>
      <c r="C561" t="inlineStr">
        <is>
          <t>17015387000152</t>
        </is>
      </c>
      <c r="D561" t="inlineStr">
        <is>
          <t xml:space="preserve">UNIÃO IMPERMEABILIZANTES </t>
        </is>
      </c>
      <c r="E561" t="inlineStr">
        <is>
          <t>RESIPRIMER E BROXA</t>
        </is>
      </c>
      <c r="F561" t="inlineStr">
        <is>
          <t>15647</t>
        </is>
      </c>
      <c r="G561" s="64" t="n">
        <v>2170</v>
      </c>
      <c r="H561" t="n">
        <v>1</v>
      </c>
      <c r="I561" s="64" t="n">
        <v>2170</v>
      </c>
      <c r="J561" s="39" t="n">
        <v>45776</v>
      </c>
      <c r="K561" t="inlineStr">
        <is>
          <t>MAT</t>
        </is>
      </c>
      <c r="L561" t="inlineStr">
        <is>
          <t>-</t>
        </is>
      </c>
    </row>
    <row r="562">
      <c r="A562" s="39" t="n">
        <v>45767</v>
      </c>
      <c r="B562" s="53" t="n">
        <v>3</v>
      </c>
      <c r="C562" t="inlineStr">
        <is>
          <t>14313602000103</t>
        </is>
      </c>
      <c r="D562" t="inlineStr">
        <is>
          <t>VIDA EQUIPAMENTOS DE PROTECAO</t>
        </is>
      </c>
      <c r="E562" t="inlineStr">
        <is>
          <t>BOTINA</t>
        </is>
      </c>
      <c r="F562" t="inlineStr">
        <is>
          <t>15647</t>
        </is>
      </c>
      <c r="G562" s="64" t="n">
        <v>115</v>
      </c>
      <c r="H562" t="n">
        <v>1</v>
      </c>
      <c r="I562" s="64" t="n">
        <v>115</v>
      </c>
      <c r="J562" s="39" t="n">
        <v>45775</v>
      </c>
      <c r="K562" t="inlineStr">
        <is>
          <t>MO</t>
        </is>
      </c>
      <c r="L562" t="inlineStr">
        <is>
          <t>-</t>
        </is>
      </c>
    </row>
    <row r="563">
      <c r="A563" s="39" t="n">
        <v>45767</v>
      </c>
      <c r="B563" s="53" t="n">
        <v>3</v>
      </c>
      <c r="C563" t="inlineStr">
        <is>
          <t>30996544000116</t>
        </is>
      </c>
      <c r="D563" t="inlineStr">
        <is>
          <t>WORK MED</t>
        </is>
      </c>
      <c r="E563" t="inlineStr">
        <is>
          <t>REALIZAÇÃO DE EXAMES</t>
        </is>
      </c>
      <c r="F563" t="inlineStr">
        <is>
          <t>3887</t>
        </is>
      </c>
      <c r="G563" s="64" t="n">
        <v>60</v>
      </c>
      <c r="H563" t="n">
        <v>1</v>
      </c>
      <c r="I563" s="64" t="n">
        <v>60</v>
      </c>
      <c r="J563" s="39" t="n">
        <v>45769</v>
      </c>
      <c r="K563" t="inlineStr">
        <is>
          <t>MO</t>
        </is>
      </c>
      <c r="L563" t="inlineStr">
        <is>
          <t>-</t>
        </is>
      </c>
    </row>
    <row r="564">
      <c r="A564" s="39" t="n">
        <v>45767</v>
      </c>
      <c r="B564" s="53" t="n">
        <v>4</v>
      </c>
      <c r="C564" t="inlineStr">
        <is>
          <t>07573876670</t>
        </is>
      </c>
      <c r="D564" t="inlineStr">
        <is>
          <t>BRUNO JUNIO DA SILVA</t>
        </is>
      </c>
      <c r="E564" t="inlineStr">
        <is>
          <t xml:space="preserve">GASOLINA - REEMBOLSO BRUNO JUNIO DA SILVA
</t>
        </is>
      </c>
      <c r="G564" s="64" t="n">
        <v>119.8</v>
      </c>
      <c r="H564" t="n">
        <v>1</v>
      </c>
      <c r="I564" s="64" t="n">
        <v>119.8</v>
      </c>
      <c r="J564" s="39" t="n">
        <v>45764</v>
      </c>
      <c r="K564" t="inlineStr">
        <is>
          <t>MO</t>
        </is>
      </c>
      <c r="L564" t="inlineStr">
        <is>
          <t>PIX: 07573876670</t>
        </is>
      </c>
    </row>
    <row r="565">
      <c r="A565" s="39" t="n">
        <v>45767</v>
      </c>
      <c r="B565" s="53" t="n">
        <v>5</v>
      </c>
      <c r="C565" t="inlineStr">
        <is>
          <t>05512402000270</t>
        </is>
      </c>
      <c r="D565" t="inlineStr">
        <is>
          <t>DIPROTEC</t>
        </is>
      </c>
      <c r="E565" t="inlineStr">
        <is>
          <t>EMCEKRETE</t>
        </is>
      </c>
      <c r="F565" t="inlineStr">
        <is>
          <t>62407</t>
        </is>
      </c>
      <c r="G565" s="64" t="n">
        <v>3042.5</v>
      </c>
      <c r="H565" t="n">
        <v>1</v>
      </c>
      <c r="I565" s="64" t="n">
        <v>3042.5</v>
      </c>
      <c r="J565" s="39" t="n">
        <v>45751</v>
      </c>
      <c r="K565" t="inlineStr">
        <is>
          <t>MAT</t>
        </is>
      </c>
      <c r="L565" t="inlineStr">
        <is>
          <t>-</t>
        </is>
      </c>
    </row>
    <row r="566">
      <c r="A566" s="39" t="n">
        <v>45767</v>
      </c>
      <c r="B566" s="53" t="n">
        <v>5</v>
      </c>
      <c r="C566" t="inlineStr">
        <is>
          <t>07861005000158</t>
        </is>
      </c>
      <c r="D566" t="inlineStr">
        <is>
          <t>MADECLARA COMERCIO DE MADEIRAS LTDA</t>
        </is>
      </c>
      <c r="E566" t="inlineStr">
        <is>
          <t>MADEIRAS</t>
        </is>
      </c>
      <c r="F566" t="inlineStr">
        <is>
          <t>219</t>
        </is>
      </c>
      <c r="G566" s="64" t="n">
        <v>31400</v>
      </c>
      <c r="H566" t="n">
        <v>1</v>
      </c>
      <c r="I566" s="64" t="n">
        <v>31400</v>
      </c>
      <c r="J566" s="39" t="n">
        <v>45750</v>
      </c>
      <c r="K566" t="inlineStr">
        <is>
          <t>MAT</t>
        </is>
      </c>
      <c r="L566" t="inlineStr">
        <is>
          <t>-</t>
        </is>
      </c>
    </row>
    <row r="567">
      <c r="A567" s="39" t="n">
        <v>45767</v>
      </c>
      <c r="B567" s="53" t="n">
        <v>5</v>
      </c>
      <c r="C567" t="inlineStr">
        <is>
          <t>18850040000279</t>
        </is>
      </c>
      <c r="D567" t="inlineStr">
        <is>
          <t>CASA DAS LONAS LTDA</t>
        </is>
      </c>
      <c r="E567" t="inlineStr">
        <is>
          <t>LONA PRETA</t>
        </is>
      </c>
      <c r="F567" t="inlineStr">
        <is>
          <t>30196</t>
        </is>
      </c>
      <c r="G567" s="64" t="n">
        <v>1099</v>
      </c>
      <c r="H567" t="n">
        <v>1</v>
      </c>
      <c r="I567" s="64" t="n">
        <v>1099</v>
      </c>
      <c r="J567" s="39" t="n">
        <v>45756</v>
      </c>
      <c r="K567" t="inlineStr">
        <is>
          <t>MAT</t>
        </is>
      </c>
      <c r="L567" t="inlineStr">
        <is>
          <t>-</t>
        </is>
      </c>
    </row>
    <row r="568">
      <c r="A568" s="39" t="n">
        <v>45767</v>
      </c>
      <c r="B568" t="n">
        <v>7</v>
      </c>
      <c r="C568" t="inlineStr">
        <is>
          <t>30104762000107</t>
        </is>
      </c>
      <c r="D568" t="inlineStr">
        <is>
          <t>VASCONCELOS &amp; RINALDI ENGENHARIA</t>
        </is>
      </c>
      <c r="E568" t="inlineStr">
        <is>
          <t>ADM. OBRA REF. 2ª QUINZ. 04/2025</t>
        </is>
      </c>
      <c r="G568" s="64" t="n">
        <v>10891.3688</v>
      </c>
      <c r="H568" t="n">
        <v>1</v>
      </c>
      <c r="I568" s="64" t="n">
        <v>10891.3688</v>
      </c>
      <c r="J568" s="39" t="n">
        <v>45767</v>
      </c>
      <c r="K568" t="inlineStr">
        <is>
          <t>ADM</t>
        </is>
      </c>
      <c r="L568" t="inlineStr">
        <is>
          <t>PIX: 30104762000107</t>
        </is>
      </c>
      <c r="M568" t="inlineStr">
        <is>
          <t>LANÇAMENTO AUTOMÁTICO</t>
        </is>
      </c>
    </row>
    <row r="569">
      <c r="A569" s="108" t="n">
        <v>45782</v>
      </c>
      <c r="B569" s="53" t="n">
        <v>5</v>
      </c>
      <c r="C569" t="inlineStr">
        <is>
          <t>38727707000177</t>
        </is>
      </c>
      <c r="D569" t="inlineStr">
        <is>
          <t>PASI SEGURO</t>
        </is>
      </c>
      <c r="E569" t="inlineStr">
        <is>
          <t>SEGURO COLABORADORES</t>
        </is>
      </c>
      <c r="G569" s="64" t="n">
        <v>232.1</v>
      </c>
      <c r="H569" t="n">
        <v>1</v>
      </c>
      <c r="I569" s="64" t="n">
        <v>232.1</v>
      </c>
      <c r="J569" s="108" t="n">
        <v>45777</v>
      </c>
      <c r="K569" t="inlineStr">
        <is>
          <t>MO</t>
        </is>
      </c>
      <c r="L569" t="inlineStr">
        <is>
          <t>-</t>
        </is>
      </c>
    </row>
    <row r="570">
      <c r="A570" s="108" t="n">
        <v>45782</v>
      </c>
      <c r="B570" s="53" t="n">
        <v>5</v>
      </c>
      <c r="C570" t="inlineStr">
        <is>
          <t>21944558000103</t>
        </is>
      </c>
      <c r="D570" t="inlineStr">
        <is>
          <t>LOCAN ANDAIMES</t>
        </is>
      </c>
      <c r="E570" t="inlineStr">
        <is>
          <t>LOCAÇÃO DE ANDAIMES</t>
        </is>
      </c>
      <c r="F570" t="inlineStr">
        <is>
          <t>10551</t>
        </is>
      </c>
      <c r="G570" s="64" t="n">
        <v>228</v>
      </c>
      <c r="H570" t="n">
        <v>1</v>
      </c>
      <c r="I570" s="64" t="n">
        <v>228</v>
      </c>
      <c r="J570" s="108" t="n">
        <v>45772</v>
      </c>
      <c r="K570" t="inlineStr">
        <is>
          <t>LOC</t>
        </is>
      </c>
      <c r="L570" t="inlineStr">
        <is>
          <t>-</t>
        </is>
      </c>
    </row>
    <row r="571">
      <c r="A571" s="108" t="n">
        <v>45782</v>
      </c>
      <c r="B571" s="53" t="n">
        <v>4</v>
      </c>
      <c r="C571" t="inlineStr">
        <is>
          <t>07573876670</t>
        </is>
      </c>
      <c r="D571" t="inlineStr">
        <is>
          <t>BRUNO JUNIO DA SILVA</t>
        </is>
      </c>
      <c r="E571" t="inlineStr">
        <is>
          <t>GASOLINA PARA COMPACTADOR</t>
        </is>
      </c>
      <c r="F571" t="inlineStr"/>
      <c r="G571" s="64" t="n">
        <v>120.4</v>
      </c>
      <c r="H571" t="n">
        <v>1</v>
      </c>
      <c r="I571" s="64" t="n">
        <v>120.4</v>
      </c>
      <c r="J571" s="108" t="n">
        <v>45782</v>
      </c>
      <c r="K571" t="inlineStr">
        <is>
          <t>MAT</t>
        </is>
      </c>
      <c r="L571" t="inlineStr">
        <is>
          <t>PIX: 07573876670</t>
        </is>
      </c>
      <c r="M571" t="inlineStr"/>
    </row>
    <row r="572">
      <c r="A572" s="108" t="n">
        <v>45782</v>
      </c>
      <c r="B572" s="53" t="n">
        <v>2</v>
      </c>
      <c r="C572" t="inlineStr">
        <is>
          <t>37052904870</t>
        </is>
      </c>
      <c r="D572" t="inlineStr">
        <is>
          <t>VR AREIA E BRITA</t>
        </is>
      </c>
      <c r="E572" t="inlineStr">
        <is>
          <t>BRITA E PÓ DE PEDRA</t>
        </is>
      </c>
      <c r="F572" t="inlineStr">
        <is>
          <t>5139,5143,5148,5156,5155,5159</t>
        </is>
      </c>
      <c r="G572" s="64" t="n">
        <v>9374.9</v>
      </c>
      <c r="H572" t="n">
        <v>1</v>
      </c>
      <c r="I572" s="64" t="n">
        <v>9374.9</v>
      </c>
      <c r="J572" s="108" t="n">
        <v>45782</v>
      </c>
      <c r="K572" t="inlineStr">
        <is>
          <t>MAT</t>
        </is>
      </c>
      <c r="L572" t="inlineStr">
        <is>
          <t>PIX: 31987111139</t>
        </is>
      </c>
      <c r="M572" t="inlineStr"/>
    </row>
    <row r="573">
      <c r="A573" s="108" t="n">
        <v>45782</v>
      </c>
      <c r="B573" s="53" t="n">
        <v>4</v>
      </c>
      <c r="C573" t="inlineStr">
        <is>
          <t>37052904870</t>
        </is>
      </c>
      <c r="D573" t="inlineStr">
        <is>
          <t>VINICIUS SANTANA RINALDI</t>
        </is>
      </c>
      <c r="E573" t="inlineStr">
        <is>
          <t>REEMBOLSO FRETE UNIFORMES OBRA</t>
        </is>
      </c>
      <c r="F573" t="inlineStr"/>
      <c r="G573" s="64" t="n">
        <v>20</v>
      </c>
      <c r="H573" t="n">
        <v>1</v>
      </c>
      <c r="I573" s="64" t="n">
        <v>20</v>
      </c>
      <c r="J573" s="108" t="n">
        <v>45782</v>
      </c>
      <c r="K573" t="inlineStr">
        <is>
          <t>SERV</t>
        </is>
      </c>
      <c r="L573" t="inlineStr">
        <is>
          <t>PIX: 37052904870</t>
        </is>
      </c>
      <c r="M573" t="inlineStr"/>
    </row>
    <row r="574">
      <c r="A574" s="108" t="n">
        <v>45782</v>
      </c>
      <c r="B574" s="53" t="n">
        <v>3</v>
      </c>
      <c r="C574" t="inlineStr">
        <is>
          <t>17015387000152</t>
        </is>
      </c>
      <c r="D574" t="inlineStr">
        <is>
          <t xml:space="preserve">UNIÃO IMPERMEABILIZANTES </t>
        </is>
      </c>
      <c r="E574" t="inlineStr">
        <is>
          <t>MANTA GEOTEXTIL</t>
        </is>
      </c>
      <c r="F574" t="inlineStr">
        <is>
          <t>15803</t>
        </is>
      </c>
      <c r="G574" s="64" t="n">
        <v>900</v>
      </c>
      <c r="H574" t="n">
        <v>1</v>
      </c>
      <c r="I574" s="64" t="n">
        <v>900</v>
      </c>
      <c r="J574" s="108" t="n">
        <v>45784</v>
      </c>
      <c r="K574" t="inlineStr">
        <is>
          <t>MAT</t>
        </is>
      </c>
      <c r="L574" t="inlineStr">
        <is>
          <t>-</t>
        </is>
      </c>
      <c r="M574" t="inlineStr"/>
    </row>
    <row r="575">
      <c r="A575" s="108" t="n">
        <v>45782</v>
      </c>
      <c r="B575" s="53" t="n">
        <v>3</v>
      </c>
      <c r="C575" t="inlineStr">
        <is>
          <t>07409393000130</t>
        </is>
      </c>
      <c r="D575" t="inlineStr">
        <is>
          <t>LOCFER</t>
        </is>
      </c>
      <c r="E575" t="inlineStr">
        <is>
          <t>MARTELO MAKITA</t>
        </is>
      </c>
      <c r="F575" t="inlineStr">
        <is>
          <t>28575</t>
        </is>
      </c>
      <c r="G575" s="64" t="n">
        <v>320</v>
      </c>
      <c r="H575" t="n">
        <v>1</v>
      </c>
      <c r="I575" s="64" t="n">
        <v>320</v>
      </c>
      <c r="J575" s="108" t="n">
        <v>45797</v>
      </c>
      <c r="K575" t="inlineStr">
        <is>
          <t>LOC</t>
        </is>
      </c>
      <c r="L575" t="inlineStr">
        <is>
          <t>-</t>
        </is>
      </c>
      <c r="M575" t="inlineStr"/>
    </row>
    <row r="576">
      <c r="A576" s="108" t="n">
        <v>45782</v>
      </c>
      <c r="B576" s="53" t="n">
        <v>3</v>
      </c>
      <c r="C576" t="inlineStr">
        <is>
          <t>07409393000130</t>
        </is>
      </c>
      <c r="D576" t="inlineStr">
        <is>
          <t>LOCFER</t>
        </is>
      </c>
      <c r="E576" t="inlineStr">
        <is>
          <t>MARTELETE E BETONEIRA</t>
        </is>
      </c>
      <c r="F576" t="inlineStr">
        <is>
          <t>28526</t>
        </is>
      </c>
      <c r="G576" s="64" t="n">
        <v>555</v>
      </c>
      <c r="H576" t="n">
        <v>1</v>
      </c>
      <c r="I576" s="64" t="n">
        <v>555</v>
      </c>
      <c r="J576" s="108" t="n">
        <v>45789</v>
      </c>
      <c r="K576" t="inlineStr">
        <is>
          <t>LOC</t>
        </is>
      </c>
      <c r="L576" t="inlineStr">
        <is>
          <t>-</t>
        </is>
      </c>
      <c r="M576" t="inlineStr"/>
    </row>
  </sheetData>
  <autoFilter ref="A1:O487"/>
  <conditionalFormatting sqref="O2:P534">
    <cfRule type="cellIs" priority="8" operator="equal" dxfId="0">
      <formula>""</formula>
    </cfRule>
  </conditionalFormatting>
  <conditionalFormatting sqref="P1">
    <cfRule type="duplicateValues" priority="13" dxfId="1"/>
  </conditionalFormatting>
  <conditionalFormatting sqref="P2:P534">
    <cfRule type="duplicateValues" priority="34" dxfId="1"/>
  </conditionalFormatting>
  <conditionalFormatting sqref="P2:P1048576">
    <cfRule type="duplicateValues" priority="17" dxfId="1"/>
    <cfRule type="duplicateValues" priority="18" dxfId="0"/>
  </conditionalFormatting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Planilha1">
    <outlinePr summaryBelow="1" summaryRight="1"/>
    <pageSetUpPr/>
  </sheetPr>
  <dimension ref="A1:T83"/>
  <sheetViews>
    <sheetView showGridLines="0" topLeftCell="A11" zoomScaleNormal="100" workbookViewId="0">
      <selection activeCell="A24" sqref="A24"/>
    </sheetView>
  </sheetViews>
  <sheetFormatPr baseColWidth="8" defaultColWidth="8.875" defaultRowHeight="15.75"/>
  <cols>
    <col width="13.875" customWidth="1" style="71" min="1" max="1"/>
    <col width="4.875" customWidth="1" style="71" min="2" max="2"/>
    <col width="15.875" customWidth="1" style="71" min="3" max="11"/>
    <col width="16.875" customWidth="1" style="71" min="12" max="12"/>
    <col width="8.875" customWidth="1" style="71" min="13" max="94"/>
    <col width="8.875" customWidth="1" style="71" min="95" max="16384"/>
  </cols>
  <sheetData>
    <row r="1" ht="69.95" customHeight="1">
      <c r="D1" s="87" t="n"/>
      <c r="E1" s="87" t="n"/>
      <c r="G1" s="70" t="inlineStr">
        <is>
          <t>Rua  Zodiaco, 87  Sala 07 – Santa  Lúcia - Belo Horizonte - MG
(31) 3654-6616 / (31) 99974-1241 /  (31) 98711-1139
rvr.engenharia@gmail.com / vinicius.rinaldi26@gmail.com</t>
        </is>
      </c>
      <c r="N1" s="87" t="n"/>
      <c r="O1" s="87" t="n"/>
      <c r="P1" s="70" t="n"/>
    </row>
    <row r="2" ht="35.1" customHeight="1">
      <c r="D2" s="87" t="n"/>
      <c r="E2" s="87" t="n"/>
      <c r="N2" s="87" t="n"/>
      <c r="O2" s="87" t="n"/>
      <c r="Q2" s="87" t="n"/>
    </row>
    <row r="3" ht="35.1" customHeight="1">
      <c r="A3" s="32" t="inlineStr">
        <is>
          <t>CLEVER LUIZ SALVADOR</t>
        </is>
      </c>
      <c r="B3" s="5" t="n"/>
      <c r="D3" s="87" t="n"/>
      <c r="E3" s="87" t="n"/>
      <c r="K3" s="58" t="inlineStr">
        <is>
          <t>Data Inicial:</t>
        </is>
      </c>
      <c r="L3" s="59" t="n">
        <v>45540</v>
      </c>
      <c r="M3" s="5" t="n"/>
      <c r="N3" s="87" t="n"/>
      <c r="O3" s="87" t="n"/>
      <c r="Q3" s="87" t="n"/>
    </row>
    <row r="4" ht="18.95" customHeight="1">
      <c r="A4" s="3" t="inlineStr">
        <is>
          <t>RUA MARES DE MONTANHAS, 465 - CONDOMINIO VALE DOS CRISTAIS</t>
        </is>
      </c>
      <c r="B4" s="3" t="n"/>
      <c r="D4" s="87" t="n"/>
      <c r="E4" s="87" t="n"/>
      <c r="K4" s="58" t="inlineStr">
        <is>
          <t>% Adm Obra:</t>
        </is>
      </c>
      <c r="L4" s="60" t="n">
        <v>0.13</v>
      </c>
      <c r="M4" s="3" t="n"/>
      <c r="N4" s="87" t="n"/>
      <c r="O4" s="87" t="n"/>
      <c r="Q4" s="87" t="n"/>
    </row>
    <row r="5" ht="30" customHeight="1"/>
    <row r="6" ht="50.1" customHeight="1" thickBot="1">
      <c r="A6" s="4" t="inlineStr">
        <is>
          <t>RESUMO DAS DESPESAS</t>
        </is>
      </c>
      <c r="B6" s="4" t="n"/>
      <c r="N6" s="38" t="inlineStr">
        <is>
          <t>% ADM OBRA</t>
        </is>
      </c>
    </row>
    <row r="7" hidden="1" ht="17.1" customHeight="1" thickBot="1">
      <c r="C7" s="71" t="n">
        <v>1</v>
      </c>
      <c r="D7" s="71" t="n">
        <v>2</v>
      </c>
      <c r="E7" s="71" t="n">
        <v>3</v>
      </c>
      <c r="F7" s="71" t="n">
        <v>4</v>
      </c>
      <c r="G7" s="71" t="n">
        <v>5</v>
      </c>
      <c r="H7" s="71" t="n">
        <v>6</v>
      </c>
    </row>
    <row r="8" ht="81" customHeight="1" thickBot="1">
      <c r="A8" s="10" t="inlineStr">
        <is>
          <t>DATA</t>
        </is>
      </c>
      <c r="B8" s="22" t="inlineStr">
        <is>
          <t>Nº REL.</t>
        </is>
      </c>
      <c r="C8" s="11" t="inlineStr">
        <is>
          <t>1) DESPESAS COM COLABORADORES</t>
        </is>
      </c>
      <c r="D8" s="11" t="inlineStr">
        <is>
          <t>2) TRANSF. PROGR. - MATERIAIS, LOCAÇÕES E PREST. SERVIÇOS</t>
        </is>
      </c>
      <c r="E8" s="11" t="inlineStr">
        <is>
          <t>3) MATERIAIS, PREST DE SERVIÇOS, IMPOSTOS E OUTROS</t>
        </is>
      </c>
      <c r="F8" s="11" t="inlineStr">
        <is>
          <t>4) RESSARCIMENTOS E RESTITUIÇÕES</t>
        </is>
      </c>
      <c r="G8" s="11" t="inlineStr">
        <is>
          <t>5) DESPESAS PAGAS PELO CLIENTE</t>
        </is>
      </c>
      <c r="H8" s="11" t="inlineStr">
        <is>
          <t xml:space="preserve">6) PAGAMENTOS CAIXA DE OBRA </t>
        </is>
      </c>
      <c r="I8" s="37" t="inlineStr">
        <is>
          <t>SUBTOTAL</t>
        </is>
      </c>
      <c r="J8" s="37" t="inlineStr">
        <is>
          <t>7) ADM. OBRA</t>
        </is>
      </c>
      <c r="K8" s="12" t="inlineStr">
        <is>
          <t>TOTAL</t>
        </is>
      </c>
      <c r="L8" s="13" t="inlineStr">
        <is>
          <t>ACUMULADO</t>
        </is>
      </c>
    </row>
    <row r="9" ht="24" customHeight="1" thickTop="1">
      <c r="A9" s="66" t="n">
        <v>45540</v>
      </c>
      <c r="B9" s="88" t="n">
        <v>1</v>
      </c>
      <c r="C9" s="89">
        <f>SUMIFS(Dados!$I$1:$I$1910,Dados!$B$1:$B$1910,C$7,Dados!$A$1:$A$1910,$A9)</f>
        <v/>
      </c>
      <c r="D9" s="89">
        <f>SUMIFS(Dados!$I$1:$I$1910,Dados!$B$1:$B$1910,D$7,Dados!$A$1:$A$1910,$A9)</f>
        <v/>
      </c>
      <c r="E9" s="89">
        <f>SUMIFS(Dados!$I$1:$I$1910,Dados!$B$1:$B$1910,E$7,Dados!$A$1:$A$1910,$A9)</f>
        <v/>
      </c>
      <c r="F9" s="89">
        <f>SUMIFS(Dados!$I$1:$I$1910,Dados!$B$1:$B$1910,F$7,Dados!$A$1:$A$1910,$A9)</f>
        <v/>
      </c>
      <c r="G9" s="89">
        <f>SUMIFS(Dados!$I$1:$I$1910,Dados!$B$1:$B$1910,G$7,Dados!$A$1:$A$1910,$A9)</f>
        <v/>
      </c>
      <c r="H9" s="89">
        <f>SUMIFS(Dados!$I$1:$I$1910,Dados!$B$1:$B$1910,H$7,Dados!$A$1:$A$1910,$A9)</f>
        <v/>
      </c>
      <c r="I9" s="89">
        <f>SUM(C9:H9)</f>
        <v/>
      </c>
      <c r="J9" s="89">
        <f>ROUND(I9*$L$4,2)</f>
        <v/>
      </c>
      <c r="K9" s="89">
        <f>SUM(I9:J9)</f>
        <v/>
      </c>
      <c r="L9" s="90">
        <f>K9</f>
        <v/>
      </c>
      <c r="N9" s="34" t="n"/>
    </row>
    <row r="10" ht="24" customHeight="1">
      <c r="A10" s="66" t="n">
        <v>45555</v>
      </c>
      <c r="B10" s="91">
        <f>B9+1</f>
        <v/>
      </c>
      <c r="C10" s="89">
        <f>SUMIFS(Dados!$I$1:$I$1910,Dados!$B$1:$B$1910,C$7,Dados!$A$1:$A$1910,$A10)</f>
        <v/>
      </c>
      <c r="D10" s="89">
        <f>SUMIFS(Dados!$I$1:$I$1910,Dados!$B$1:$B$1910,D$7,Dados!$A$1:$A$1910,$A10)</f>
        <v/>
      </c>
      <c r="E10" s="89">
        <f>SUMIFS(Dados!$I$1:$I$1910,Dados!$B$1:$B$1910,E$7,Dados!$A$1:$A$1910,$A10)</f>
        <v/>
      </c>
      <c r="F10" s="89">
        <f>SUMIFS(Dados!$I$1:$I$1910,Dados!$B$1:$B$1910,F$7,Dados!$A$1:$A$1910,$A10)</f>
        <v/>
      </c>
      <c r="G10" s="89">
        <f>SUMIFS(Dados!$I$1:$I$1910,Dados!$B$1:$B$1910,G$7,Dados!$A$1:$A$1910,$A10)</f>
        <v/>
      </c>
      <c r="H10" s="89">
        <f>SUMIFS(Dados!$I$1:$I$1910,Dados!$B$1:$B$1910,H$7,Dados!$A$1:$A$1910,$A10)</f>
        <v/>
      </c>
      <c r="I10" s="89">
        <f>SUM(C10:H10)</f>
        <v/>
      </c>
      <c r="J10" s="89">
        <f>ROUND(I10*$L$4,2)</f>
        <v/>
      </c>
      <c r="K10" s="89">
        <f>SUM(I10:J10)</f>
        <v/>
      </c>
      <c r="L10" s="90">
        <f>ROUND(K10+L9,2)</f>
        <v/>
      </c>
      <c r="N10" s="34" t="n"/>
    </row>
    <row r="11" ht="24" customHeight="1">
      <c r="A11" s="66" t="n">
        <v>45570</v>
      </c>
      <c r="B11" s="91">
        <f>B10+1</f>
        <v/>
      </c>
      <c r="C11" s="89">
        <f>SUMIFS(Dados!$I$1:$I$1910,Dados!$B$1:$B$1910,C$7,Dados!$A$1:$A$1910,$A11)</f>
        <v/>
      </c>
      <c r="D11" s="89">
        <f>SUMIFS(Dados!$I$1:$I$1910,Dados!$B$1:$B$1910,D$7,Dados!$A$1:$A$1910,$A11)</f>
        <v/>
      </c>
      <c r="E11" s="89">
        <f>SUMIFS(Dados!$I$1:$I$1910,Dados!$B$1:$B$1910,E$7,Dados!$A$1:$A$1910,$A11)</f>
        <v/>
      </c>
      <c r="F11" s="89">
        <f>SUMIFS(Dados!$I$1:$I$1910,Dados!$B$1:$B$1910,F$7,Dados!$A$1:$A$1910,$A11)</f>
        <v/>
      </c>
      <c r="G11" s="89">
        <f>SUMIFS(Dados!$I$1:$I$1910,Dados!$B$1:$B$1910,G$7,Dados!$A$1:$A$1910,$A11)</f>
        <v/>
      </c>
      <c r="H11" s="89">
        <f>SUMIFS(Dados!$I$1:$I$1910,Dados!$B$1:$B$1910,H$7,Dados!$A$1:$A$1910,$A11)</f>
        <v/>
      </c>
      <c r="I11" s="89">
        <f>SUM(C11:H11)</f>
        <v/>
      </c>
      <c r="J11" s="89">
        <f>ROUND(I11*$L$4,2)</f>
        <v/>
      </c>
      <c r="K11" s="89">
        <f>SUM(I11:J11)</f>
        <v/>
      </c>
      <c r="L11" s="90">
        <f>ROUND(K11+L10,2)</f>
        <v/>
      </c>
      <c r="N11" s="34" t="n"/>
    </row>
    <row r="12" ht="24" customHeight="1">
      <c r="A12" s="66" t="n">
        <v>45585</v>
      </c>
      <c r="B12" s="91">
        <f>B11+1</f>
        <v/>
      </c>
      <c r="C12" s="89">
        <f>SUMIFS(Dados!$I$1:$I$1910,Dados!$B$1:$B$1910,C$7,Dados!$A$1:$A$1910,$A12)</f>
        <v/>
      </c>
      <c r="D12" s="89">
        <f>SUMIFS(Dados!$I$1:$I$1910,Dados!$B$1:$B$1910,D$7,Dados!$A$1:$A$1910,$A12)</f>
        <v/>
      </c>
      <c r="E12" s="89">
        <f>SUMIFS(Dados!$I$1:$I$1910,Dados!$B$1:$B$1910,E$7,Dados!$A$1:$A$1910,$A12)</f>
        <v/>
      </c>
      <c r="F12" s="89">
        <f>SUMIFS(Dados!$I$1:$I$1910,Dados!$B$1:$B$1910,F$7,Dados!$A$1:$A$1910,$A12)</f>
        <v/>
      </c>
      <c r="G12" s="89">
        <f>SUMIFS(Dados!$I$1:$I$1910,Dados!$B$1:$B$1910,G$7,Dados!$A$1:$A$1910,$A12)</f>
        <v/>
      </c>
      <c r="H12" s="89">
        <f>SUMIFS(Dados!$I$1:$I$1910,Dados!$B$1:$B$1910,H$7,Dados!$A$1:$A$1910,$A12)</f>
        <v/>
      </c>
      <c r="I12" s="89">
        <f>SUM(C12:H12)</f>
        <v/>
      </c>
      <c r="J12" s="89">
        <f>ROUND(I12*$L$4,2)</f>
        <v/>
      </c>
      <c r="K12" s="89">
        <f>SUM(I12:J12)</f>
        <v/>
      </c>
      <c r="L12" s="90">
        <f>ROUND(K12+L11,2)</f>
        <v/>
      </c>
      <c r="N12" s="34" t="n"/>
    </row>
    <row r="13" ht="24" customHeight="1">
      <c r="A13" s="66" t="n">
        <v>45601</v>
      </c>
      <c r="B13" s="91">
        <f>B12+1</f>
        <v/>
      </c>
      <c r="C13" s="89">
        <f>SUMIFS(Dados!$I$1:$I$1910,Dados!$B$1:$B$1910,C$7,Dados!$A$1:$A$1910,$A13)</f>
        <v/>
      </c>
      <c r="D13" s="89">
        <f>SUMIFS(Dados!$I$1:$I$1910,Dados!$B$1:$B$1910,D$7,Dados!$A$1:$A$1910,$A13)</f>
        <v/>
      </c>
      <c r="E13" s="89">
        <f>SUMIFS(Dados!$I$1:$I$1910,Dados!$B$1:$B$1910,E$7,Dados!$A$1:$A$1910,$A13)</f>
        <v/>
      </c>
      <c r="F13" s="89">
        <f>SUMIFS(Dados!$I$1:$I$1910,Dados!$B$1:$B$1910,F$7,Dados!$A$1:$A$1910,$A13)</f>
        <v/>
      </c>
      <c r="G13" s="89">
        <f>SUMIFS(Dados!$I$1:$I$1910,Dados!$B$1:$B$1910,G$7,Dados!$A$1:$A$1910,$A13)</f>
        <v/>
      </c>
      <c r="H13" s="89">
        <f>SUMIFS(Dados!$I$1:$I$1910,Dados!$B$1:$B$1910,H$7,Dados!$A$1:$A$1910,$A13)</f>
        <v/>
      </c>
      <c r="I13" s="89">
        <f>SUM(C13:H13)</f>
        <v/>
      </c>
      <c r="J13" s="89">
        <f>ROUND(I13*$L$4,2)</f>
        <v/>
      </c>
      <c r="K13" s="89">
        <f>SUM(I13:J13)</f>
        <v/>
      </c>
      <c r="L13" s="90">
        <f>ROUND(K13+L12,2)</f>
        <v/>
      </c>
      <c r="N13" s="34" t="n"/>
    </row>
    <row r="14" ht="24" customHeight="1">
      <c r="A14" s="66" t="n">
        <v>45616</v>
      </c>
      <c r="B14" s="91">
        <f>B13+1</f>
        <v/>
      </c>
      <c r="C14" s="89">
        <f>SUMIFS(Dados!$I$1:$I$1910,Dados!$B$1:$B$1910,C$7,Dados!$A$1:$A$1910,$A14)</f>
        <v/>
      </c>
      <c r="D14" s="89">
        <f>SUMIFS(Dados!$I$1:$I$1910,Dados!$B$1:$B$1910,D$7,Dados!$A$1:$A$1910,$A14)</f>
        <v/>
      </c>
      <c r="E14" s="89">
        <f>SUMIFS(Dados!$I$1:$I$1910,Dados!$B$1:$B$1910,E$7,Dados!$A$1:$A$1910,$A14)</f>
        <v/>
      </c>
      <c r="F14" s="89">
        <f>SUMIFS(Dados!$I$1:$I$1910,Dados!$B$1:$B$1910,F$7,Dados!$A$1:$A$1910,$A14)</f>
        <v/>
      </c>
      <c r="G14" s="89">
        <f>SUMIFS(Dados!$I$1:$I$1910,Dados!$B$1:$B$1910,G$7,Dados!$A$1:$A$1910,$A14)</f>
        <v/>
      </c>
      <c r="H14" s="89">
        <f>SUMIFS(Dados!$I$1:$I$1910,Dados!$B$1:$B$1910,H$7,Dados!$A$1:$A$1910,$A14)</f>
        <v/>
      </c>
      <c r="I14" s="89">
        <f>SUM(C14:H14)</f>
        <v/>
      </c>
      <c r="J14" s="89">
        <f>ROUND(I14*$L$4,2)</f>
        <v/>
      </c>
      <c r="K14" s="89">
        <f>SUM(I14:J14)</f>
        <v/>
      </c>
      <c r="L14" s="90">
        <f>ROUND(K14+L13,2)</f>
        <v/>
      </c>
      <c r="N14" s="34" t="n"/>
    </row>
    <row r="15" ht="24" customHeight="1">
      <c r="A15" s="66" t="n">
        <v>45631</v>
      </c>
      <c r="B15" s="91">
        <f>B14+1</f>
        <v/>
      </c>
      <c r="C15" s="89">
        <f>SUMIFS(Dados!$I$1:$I$1910,Dados!$B$1:$B$1910,C$7,Dados!$A$1:$A$1910,$A15)</f>
        <v/>
      </c>
      <c r="D15" s="89">
        <f>SUMIFS(Dados!$I$1:$I$1910,Dados!$B$1:$B$1910,D$7,Dados!$A$1:$A$1910,$A15)</f>
        <v/>
      </c>
      <c r="E15" s="89">
        <f>SUMIFS(Dados!$I$1:$I$1910,Dados!$B$1:$B$1910,E$7,Dados!$A$1:$A$1910,$A15)</f>
        <v/>
      </c>
      <c r="F15" s="89">
        <f>SUMIFS(Dados!$I$1:$I$1910,Dados!$B$1:$B$1910,F$7,Dados!$A$1:$A$1910,$A15)</f>
        <v/>
      </c>
      <c r="G15" s="89">
        <f>SUMIFS(Dados!$I$1:$I$1910,Dados!$B$1:$B$1910,G$7,Dados!$A$1:$A$1910,$A15)</f>
        <v/>
      </c>
      <c r="H15" s="89">
        <f>SUMIFS(Dados!$I$1:$I$1910,Dados!$B$1:$B$1910,H$7,Dados!$A$1:$A$1910,$A15)</f>
        <v/>
      </c>
      <c r="I15" s="89">
        <f>SUM(C15:H15)</f>
        <v/>
      </c>
      <c r="J15" s="89">
        <f>ROUND(I15*$L$4,2)</f>
        <v/>
      </c>
      <c r="K15" s="89">
        <f>SUM(I15:J15)</f>
        <v/>
      </c>
      <c r="L15" s="90">
        <f>ROUND(K15+L14,2)</f>
        <v/>
      </c>
      <c r="N15" s="34" t="n"/>
    </row>
    <row r="16" ht="24" customHeight="1">
      <c r="A16" s="66" t="n">
        <v>45646</v>
      </c>
      <c r="B16" s="91">
        <f>B15+1</f>
        <v/>
      </c>
      <c r="C16" s="89">
        <f>SUMIFS(Dados!$I$1:$I$1910,Dados!$B$1:$B$1910,C$7,Dados!$A$1:$A$1910,$A16)</f>
        <v/>
      </c>
      <c r="D16" s="89">
        <f>SUMIFS(Dados!$I$1:$I$1910,Dados!$B$1:$B$1910,D$7,Dados!$A$1:$A$1910,$A16)</f>
        <v/>
      </c>
      <c r="E16" s="89">
        <f>SUMIFS(Dados!$I$1:$I$1910,Dados!$B$1:$B$1910,E$7,Dados!$A$1:$A$1910,$A16)</f>
        <v/>
      </c>
      <c r="F16" s="89">
        <f>SUMIFS(Dados!$I$1:$I$1910,Dados!$B$1:$B$1910,F$7,Dados!$A$1:$A$1910,$A16)</f>
        <v/>
      </c>
      <c r="G16" s="89">
        <f>SUMIFS(Dados!$I$1:$I$1910,Dados!$B$1:$B$1910,G$7,Dados!$A$1:$A$1910,$A16)</f>
        <v/>
      </c>
      <c r="H16" s="89">
        <f>SUMIFS(Dados!$I$1:$I$1910,Dados!$B$1:$B$1910,H$7,Dados!$A$1:$A$1910,$A16)</f>
        <v/>
      </c>
      <c r="I16" s="89">
        <f>SUM(C16:H16)</f>
        <v/>
      </c>
      <c r="J16" s="89">
        <f>ROUND(I16*$L$4,2)</f>
        <v/>
      </c>
      <c r="K16" s="89">
        <f>SUM(I16:J16)</f>
        <v/>
      </c>
      <c r="L16" s="90">
        <f>ROUND(K16+L15,2)</f>
        <v/>
      </c>
      <c r="N16" s="34" t="n"/>
    </row>
    <row r="17" ht="24" customHeight="1">
      <c r="A17" s="66" t="n">
        <v>45662</v>
      </c>
      <c r="B17" s="91">
        <f>B16+1</f>
        <v/>
      </c>
      <c r="C17" s="89">
        <f>SUMIFS(Dados!$I$1:$I$1910,Dados!$B$1:$B$1910,C$7,Dados!$A$1:$A$1910,$A17)</f>
        <v/>
      </c>
      <c r="D17" s="89">
        <f>SUMIFS(Dados!$I$1:$I$1910,Dados!$B$1:$B$1910,D$7,Dados!$A$1:$A$1910,$A17)</f>
        <v/>
      </c>
      <c r="E17" s="89">
        <f>SUMIFS(Dados!$I$1:$I$1910,Dados!$B$1:$B$1910,E$7,Dados!$A$1:$A$1910,$A17)</f>
        <v/>
      </c>
      <c r="F17" s="89">
        <f>SUMIFS(Dados!$I$1:$I$1910,Dados!$B$1:$B$1910,F$7,Dados!$A$1:$A$1910,$A17)</f>
        <v/>
      </c>
      <c r="G17" s="89">
        <f>SUMIFS(Dados!$I$1:$I$1910,Dados!$B$1:$B$1910,G$7,Dados!$A$1:$A$1910,$A17)</f>
        <v/>
      </c>
      <c r="H17" s="89">
        <f>SUMIFS(Dados!$I$1:$I$1910,Dados!$B$1:$B$1910,H$7,Dados!$A$1:$A$1910,$A17)</f>
        <v/>
      </c>
      <c r="I17" s="89">
        <f>SUM(C17:H17)</f>
        <v/>
      </c>
      <c r="J17" s="89">
        <f>ROUND(I17*$L$4,2)</f>
        <v/>
      </c>
      <c r="K17" s="89">
        <f>SUM(I17:J17)</f>
        <v/>
      </c>
      <c r="L17" s="90">
        <f>ROUND(K17+L16,2)</f>
        <v/>
      </c>
      <c r="M17" s="68" t="n"/>
      <c r="N17" s="92" t="n"/>
    </row>
    <row r="18" ht="24" customHeight="1">
      <c r="A18" s="66" t="n">
        <v>45677</v>
      </c>
      <c r="B18" s="91">
        <f>B17+1</f>
        <v/>
      </c>
      <c r="C18" s="89">
        <f>SUMIFS(Dados!$I$1:$I$1910,Dados!$B$1:$B$1910,C$7,Dados!$A$1:$A$1910,$A18)</f>
        <v/>
      </c>
      <c r="D18" s="89">
        <f>SUMIFS(Dados!$I$1:$I$1910,Dados!$B$1:$B$1910,D$7,Dados!$A$1:$A$1910,$A18)</f>
        <v/>
      </c>
      <c r="E18" s="89">
        <f>SUMIFS(Dados!$I$1:$I$1910,Dados!$B$1:$B$1910,E$7,Dados!$A$1:$A$1910,$A18)</f>
        <v/>
      </c>
      <c r="F18" s="89">
        <f>SUMIFS(Dados!$I$1:$I$1910,Dados!$B$1:$B$1910,F$7,Dados!$A$1:$A$1910,$A18)</f>
        <v/>
      </c>
      <c r="G18" s="89">
        <f>SUMIFS(Dados!$I$1:$I$1910,Dados!$B$1:$B$1910,G$7,Dados!$A$1:$A$1910,$A18)</f>
        <v/>
      </c>
      <c r="H18" s="89">
        <f>SUMIFS(Dados!$I$1:$I$1910,Dados!$B$1:$B$1910,H$7,Dados!$A$1:$A$1910,$A18)</f>
        <v/>
      </c>
      <c r="I18" s="89">
        <f>SUM(C18:H18)</f>
        <v/>
      </c>
      <c r="J18" s="89">
        <f>ROUND(I18*$L$4,2)</f>
        <v/>
      </c>
      <c r="K18" s="89">
        <f>SUM(I18:J18)</f>
        <v/>
      </c>
      <c r="L18" s="90">
        <f>ROUND(K18+L17,2)</f>
        <v/>
      </c>
      <c r="M18" s="68" t="n"/>
      <c r="N18" s="92" t="n"/>
    </row>
    <row r="19" ht="24" customHeight="1">
      <c r="A19" s="66" t="n">
        <v>45693</v>
      </c>
      <c r="B19" s="91">
        <f>B18+1</f>
        <v/>
      </c>
      <c r="C19" s="89">
        <f>SUMIFS(Dados!$I$1:$I$1910,Dados!$B$1:$B$1910,C$7,Dados!$A$1:$A$1910,$A19)</f>
        <v/>
      </c>
      <c r="D19" s="89">
        <f>SUMIFS(Dados!$I$1:$I$1910,Dados!$B$1:$B$1910,D$7,Dados!$A$1:$A$1910,$A19)</f>
        <v/>
      </c>
      <c r="E19" s="89">
        <f>SUMIFS(Dados!$I$1:$I$1910,Dados!$B$1:$B$1910,E$7,Dados!$A$1:$A$1910,$A19)</f>
        <v/>
      </c>
      <c r="F19" s="89">
        <f>SUMIFS(Dados!$I$1:$I$1910,Dados!$B$1:$B$1910,F$7,Dados!$A$1:$A$1910,$A19)</f>
        <v/>
      </c>
      <c r="G19" s="89">
        <f>SUMIFS(Dados!$I$1:$I$1910,Dados!$B$1:$B$1910,G$7,Dados!$A$1:$A$1910,$A19)</f>
        <v/>
      </c>
      <c r="H19" s="89">
        <f>SUMIFS(Dados!$I$1:$I$1910,Dados!$B$1:$B$1910,H$7,Dados!$A$1:$A$1910,$A19)</f>
        <v/>
      </c>
      <c r="I19" s="89">
        <f>SUM(C19:H19)</f>
        <v/>
      </c>
      <c r="J19" s="89">
        <f>ROUND(I19*$L$4,2)</f>
        <v/>
      </c>
      <c r="K19" s="89">
        <f>SUM(I19:J19)</f>
        <v/>
      </c>
      <c r="L19" s="90">
        <f>ROUND(K19+L18,2)</f>
        <v/>
      </c>
      <c r="M19" s="68" t="n"/>
      <c r="N19" s="92" t="n"/>
    </row>
    <row r="20" ht="24" customHeight="1">
      <c r="A20" s="66" t="n">
        <v>45708</v>
      </c>
      <c r="B20" s="91">
        <f>B19+1</f>
        <v/>
      </c>
      <c r="C20" s="89">
        <f>SUMIFS(Dados!$I$1:$I$1910,Dados!$B$1:$B$1910,C$7,Dados!$A$1:$A$1910,$A20)</f>
        <v/>
      </c>
      <c r="D20" s="89">
        <f>SUMIFS(Dados!$I$1:$I$1910,Dados!$B$1:$B$1910,D$7,Dados!$A$1:$A$1910,$A20)</f>
        <v/>
      </c>
      <c r="E20" s="89">
        <f>SUMIFS(Dados!$I$1:$I$1910,Dados!$B$1:$B$1910,E$7,Dados!$A$1:$A$1910,$A20)</f>
        <v/>
      </c>
      <c r="F20" s="89">
        <f>SUMIFS(Dados!$I$1:$I$1910,Dados!$B$1:$B$1910,F$7,Dados!$A$1:$A$1910,$A20)</f>
        <v/>
      </c>
      <c r="G20" s="89">
        <f>SUMIFS(Dados!$I$1:$I$1910,Dados!$B$1:$B$1910,G$7,Dados!$A$1:$A$1910,$A20)</f>
        <v/>
      </c>
      <c r="H20" s="89">
        <f>SUMIFS(Dados!$I$1:$I$1910,Dados!$B$1:$B$1910,H$7,Dados!$A$1:$A$1910,$A20)</f>
        <v/>
      </c>
      <c r="I20" s="89">
        <f>SUM(C20:H20)</f>
        <v/>
      </c>
      <c r="J20" s="89">
        <f>ROUND(I20*$L$4,2)</f>
        <v/>
      </c>
      <c r="K20" s="89">
        <f>SUM(I20:J20)</f>
        <v/>
      </c>
      <c r="L20" s="90">
        <f>ROUND(K20+L19,2)</f>
        <v/>
      </c>
      <c r="M20" s="68" t="n"/>
      <c r="N20" s="92" t="n"/>
    </row>
    <row r="21" ht="24" customHeight="1">
      <c r="A21" s="66" t="n">
        <v>45721</v>
      </c>
      <c r="B21" s="91">
        <f>B20+1</f>
        <v/>
      </c>
      <c r="C21" s="89">
        <f>SUMIFS(Dados!$I$1:$I$1910,Dados!$B$1:$B$1910,C$7,Dados!$A$1:$A$1910,$A21)</f>
        <v/>
      </c>
      <c r="D21" s="89">
        <f>SUMIFS(Dados!$I$1:$I$1910,Dados!$B$1:$B$1910,D$7,Dados!$A$1:$A$1910,$A21)</f>
        <v/>
      </c>
      <c r="E21" s="89">
        <f>SUMIFS(Dados!$I$1:$I$1910,Dados!$B$1:$B$1910,E$7,Dados!$A$1:$A$1910,$A21)</f>
        <v/>
      </c>
      <c r="F21" s="89">
        <f>SUMIFS(Dados!$I$1:$I$1910,Dados!$B$1:$B$1910,F$7,Dados!$A$1:$A$1910,$A21)</f>
        <v/>
      </c>
      <c r="G21" s="89">
        <f>SUMIFS(Dados!$I$1:$I$1910,Dados!$B$1:$B$1910,G$7,Dados!$A$1:$A$1910,$A21)</f>
        <v/>
      </c>
      <c r="H21" s="89">
        <f>SUMIFS(Dados!$I$1:$I$1910,Dados!$B$1:$B$1910,H$7,Dados!$A$1:$A$1910,$A21)</f>
        <v/>
      </c>
      <c r="I21" s="89">
        <f>SUM(C21:H21)</f>
        <v/>
      </c>
      <c r="J21" s="89">
        <f>ROUND(I21*$L$4,2)</f>
        <v/>
      </c>
      <c r="K21" s="89">
        <f>SUM(I21:J21)</f>
        <v/>
      </c>
      <c r="L21" s="90">
        <f>ROUND(K21+L20,2)</f>
        <v/>
      </c>
      <c r="M21" s="68" t="n"/>
      <c r="N21" s="92" t="n"/>
    </row>
    <row r="22" ht="24" customHeight="1">
      <c r="A22" s="66" t="n">
        <v>45736</v>
      </c>
      <c r="B22" s="91">
        <f>B21+1</f>
        <v/>
      </c>
      <c r="C22" s="89">
        <f>SUMIFS(Dados!$I$1:$I$1910,Dados!$B$1:$B$1910,C$7,Dados!$A$1:$A$1910,$A22)</f>
        <v/>
      </c>
      <c r="D22" s="89">
        <f>SUMIFS(Dados!$I$1:$I$1910,Dados!$B$1:$B$1910,D$7,Dados!$A$1:$A$1910,$A22)</f>
        <v/>
      </c>
      <c r="E22" s="89">
        <f>SUMIFS(Dados!$I$1:$I$1910,Dados!$B$1:$B$1910,E$7,Dados!$A$1:$A$1910,$A22)</f>
        <v/>
      </c>
      <c r="F22" s="89">
        <f>SUMIFS(Dados!$I$1:$I$1910,Dados!$B$1:$B$1910,F$7,Dados!$A$1:$A$1910,$A22)</f>
        <v/>
      </c>
      <c r="G22" s="89">
        <f>SUMIFS(Dados!$I$1:$I$1910,Dados!$B$1:$B$1910,G$7,Dados!$A$1:$A$1910,$A22)</f>
        <v/>
      </c>
      <c r="H22" s="89">
        <f>SUMIFS(Dados!$I$1:$I$1910,Dados!$B$1:$B$1910,H$7,Dados!$A$1:$A$1910,$A22)</f>
        <v/>
      </c>
      <c r="I22" s="89">
        <f>SUM(C22:H22)</f>
        <v/>
      </c>
      <c r="J22" s="89">
        <f>ROUND(I22*$L$4,2)</f>
        <v/>
      </c>
      <c r="K22" s="89">
        <f>SUM(I22:J22)</f>
        <v/>
      </c>
      <c r="L22" s="90">
        <f>ROUND(K22+L21,2)</f>
        <v/>
      </c>
      <c r="N22" s="34" t="n"/>
    </row>
    <row r="23" ht="24" customHeight="1">
      <c r="A23" s="66" t="n">
        <v>45752</v>
      </c>
      <c r="B23" s="91">
        <f>B22+1</f>
        <v/>
      </c>
      <c r="C23" s="89">
        <f>SUMIFS(Dados!$I$1:$I$1910,Dados!$B$1:$B$1910,C$7,Dados!$A$1:$A$1910,$A23)</f>
        <v/>
      </c>
      <c r="D23" s="89">
        <f>SUMIFS(Dados!$I$1:$I$1910,Dados!$B$1:$B$1910,D$7,Dados!$A$1:$A$1910,$A23)</f>
        <v/>
      </c>
      <c r="E23" s="89">
        <f>SUMIFS(Dados!$I$1:$I$1910,Dados!$B$1:$B$1910,E$7,Dados!$A$1:$A$1910,$A23)</f>
        <v/>
      </c>
      <c r="F23" s="89">
        <f>SUMIFS(Dados!$I$1:$I$1910,Dados!$B$1:$B$1910,F$7,Dados!$A$1:$A$1910,$A23)</f>
        <v/>
      </c>
      <c r="G23" s="89">
        <f>SUMIFS(Dados!$I$1:$I$1910,Dados!$B$1:$B$1910,G$7,Dados!$A$1:$A$1910,$A23)</f>
        <v/>
      </c>
      <c r="H23" s="89">
        <f>SUMIFS(Dados!$I$1:$I$1910,Dados!$B$1:$B$1910,H$7,Dados!$A$1:$A$1910,$A23)</f>
        <v/>
      </c>
      <c r="I23" s="89">
        <f>SUM(C23:H23)</f>
        <v/>
      </c>
      <c r="J23" s="89">
        <f>ROUND(I23*$L$4,2)</f>
        <v/>
      </c>
      <c r="K23" s="89">
        <f>SUM(I23:J23)</f>
        <v/>
      </c>
      <c r="L23" s="90">
        <f>ROUND(K23+L22,2)</f>
        <v/>
      </c>
      <c r="N23" s="34" t="n"/>
    </row>
    <row r="24" ht="24" customHeight="1">
      <c r="A24" s="66" t="n">
        <v>45767</v>
      </c>
      <c r="B24" s="91">
        <f>B23+1</f>
        <v/>
      </c>
      <c r="C24" s="89">
        <f>SUMIFS(Dados!$I$1:$I$1910,Dados!$B$1:$B$1910,C$7,Dados!$A$1:$A$1910,$A24)</f>
        <v/>
      </c>
      <c r="D24" s="89">
        <f>SUMIFS(Dados!$I$1:$I$1910,Dados!$B$1:$B$1910,D$7,Dados!$A$1:$A$1910,$A24)</f>
        <v/>
      </c>
      <c r="E24" s="89">
        <f>SUMIFS(Dados!$I$1:$I$1910,Dados!$B$1:$B$1910,E$7,Dados!$A$1:$A$1910,$A24)</f>
        <v/>
      </c>
      <c r="F24" s="89">
        <f>SUMIFS(Dados!$I$1:$I$1910,Dados!$B$1:$B$1910,F$7,Dados!$A$1:$A$1910,$A24)</f>
        <v/>
      </c>
      <c r="G24" s="89">
        <f>SUMIFS(Dados!$I$1:$I$1910,Dados!$B$1:$B$1910,G$7,Dados!$A$1:$A$1910,$A24)</f>
        <v/>
      </c>
      <c r="H24" s="89">
        <f>SUMIFS(Dados!$I$1:$I$1910,Dados!$B$1:$B$1910,H$7,Dados!$A$1:$A$1910,$A24)</f>
        <v/>
      </c>
      <c r="I24" s="89">
        <f>SUM(C24:H24)</f>
        <v/>
      </c>
      <c r="J24" s="89">
        <f>ROUND(I24*$L$4,2)</f>
        <v/>
      </c>
      <c r="K24" s="93">
        <f>SUM(I24:J24)</f>
        <v/>
      </c>
      <c r="L24" s="90">
        <f>ROUND(K24+L23,2)</f>
        <v/>
      </c>
      <c r="N24" s="34" t="n"/>
    </row>
    <row r="25" ht="24" customHeight="1">
      <c r="A25" s="66" t="n">
        <v>45782</v>
      </c>
      <c r="B25" s="91">
        <f>B24+1</f>
        <v/>
      </c>
      <c r="C25" s="89">
        <f>SUMIFS(Dados!$I$1:$I$1910,Dados!$B$1:$B$1910,C$7,Dados!$A$1:$A$1910,$A25)</f>
        <v/>
      </c>
      <c r="D25" s="89">
        <f>SUMIFS(Dados!$I$1:$I$1910,Dados!$B$1:$B$1910,D$7,Dados!$A$1:$A$1910,$A25)</f>
        <v/>
      </c>
      <c r="E25" s="89">
        <f>SUMIFS(Dados!$I$1:$I$1910,Dados!$B$1:$B$1910,E$7,Dados!$A$1:$A$1910,$A25)</f>
        <v/>
      </c>
      <c r="F25" s="89">
        <f>SUMIFS(Dados!$I$1:$I$1910,Dados!$B$1:$B$1910,F$7,Dados!$A$1:$A$1910,$A25)</f>
        <v/>
      </c>
      <c r="G25" s="89">
        <f>SUMIFS(Dados!$I$1:$I$1910,Dados!$B$1:$B$1910,G$7,Dados!$A$1:$A$1910,$A25)</f>
        <v/>
      </c>
      <c r="H25" s="89">
        <f>SUMIFS(Dados!$I$1:$I$1910,Dados!$B$1:$B$1910,H$7,Dados!$A$1:$A$1910,$A25)</f>
        <v/>
      </c>
      <c r="I25" s="89">
        <f>SUM(C25:H25)</f>
        <v/>
      </c>
      <c r="J25" s="89">
        <f>ROUND(I25*$L$4,2)</f>
        <v/>
      </c>
      <c r="K25" s="93">
        <f>SUM(I25:J25)</f>
        <v/>
      </c>
      <c r="L25" s="90">
        <f>ROUND(K25+L24,2)</f>
        <v/>
      </c>
      <c r="N25" s="34" t="n"/>
    </row>
    <row r="26" ht="24" customHeight="1">
      <c r="A26" s="66" t="n">
        <v>45797</v>
      </c>
      <c r="B26" s="91">
        <f>B25+1</f>
        <v/>
      </c>
      <c r="C26" s="89">
        <f>SUMIFS(Dados!$I$1:$I$1910,Dados!$B$1:$B$1910,C$7,Dados!$A$1:$A$1910,$A26)</f>
        <v/>
      </c>
      <c r="D26" s="89">
        <f>SUMIFS(Dados!$I$1:$I$1910,Dados!$B$1:$B$1910,D$7,Dados!$A$1:$A$1910,$A26)</f>
        <v/>
      </c>
      <c r="E26" s="89">
        <f>SUMIFS(Dados!$I$1:$I$1910,Dados!$B$1:$B$1910,E$7,Dados!$A$1:$A$1910,$A26)</f>
        <v/>
      </c>
      <c r="F26" s="89">
        <f>SUMIFS(Dados!$I$1:$I$1910,Dados!$B$1:$B$1910,F$7,Dados!$A$1:$A$1910,$A26)</f>
        <v/>
      </c>
      <c r="G26" s="89">
        <f>SUMIFS(Dados!$I$1:$I$1910,Dados!$B$1:$B$1910,G$7,Dados!$A$1:$A$1910,$A26)</f>
        <v/>
      </c>
      <c r="H26" s="89">
        <f>SUMIFS(Dados!$I$1:$I$1910,Dados!$B$1:$B$1910,H$7,Dados!$A$1:$A$1910,$A26)</f>
        <v/>
      </c>
      <c r="I26" s="89">
        <f>SUM(C26:H26)</f>
        <v/>
      </c>
      <c r="J26" s="89">
        <f>ROUND(I26*$L$4,2)</f>
        <v/>
      </c>
      <c r="K26" s="93">
        <f>SUM(I26:J26)</f>
        <v/>
      </c>
      <c r="L26" s="90">
        <f>ROUND(K26+L25,2)</f>
        <v/>
      </c>
      <c r="N26" s="34" t="n"/>
    </row>
    <row r="27" ht="24" customHeight="1">
      <c r="A27" s="66" t="n">
        <v>45813</v>
      </c>
      <c r="B27" s="91">
        <f>B26+1</f>
        <v/>
      </c>
      <c r="C27" s="89">
        <f>SUMIFS(Dados!$I$1:$I$1910,Dados!$B$1:$B$1910,C$7,Dados!$A$1:$A$1910,$A27)</f>
        <v/>
      </c>
      <c r="D27" s="89">
        <f>SUMIFS(Dados!$I$1:$I$1910,Dados!$B$1:$B$1910,D$7,Dados!$A$1:$A$1910,$A27)</f>
        <v/>
      </c>
      <c r="E27" s="89">
        <f>SUMIFS(Dados!$I$1:$I$1910,Dados!$B$1:$B$1910,E$7,Dados!$A$1:$A$1910,$A27)</f>
        <v/>
      </c>
      <c r="F27" s="89">
        <f>SUMIFS(Dados!$I$1:$I$1910,Dados!$B$1:$B$1910,F$7,Dados!$A$1:$A$1910,$A27)</f>
        <v/>
      </c>
      <c r="G27" s="89">
        <f>SUMIFS(Dados!$I$1:$I$1910,Dados!$B$1:$B$1910,G$7,Dados!$A$1:$A$1910,$A27)</f>
        <v/>
      </c>
      <c r="H27" s="89">
        <f>SUMIFS(Dados!$I$1:$I$1910,Dados!$B$1:$B$1910,H$7,Dados!$A$1:$A$1910,$A27)</f>
        <v/>
      </c>
      <c r="I27" s="89">
        <f>SUM(C27:H27)</f>
        <v/>
      </c>
      <c r="J27" s="89">
        <f>ROUND(I27*$L$4,2)</f>
        <v/>
      </c>
      <c r="K27" s="93">
        <f>SUM(I27:J27)</f>
        <v/>
      </c>
      <c r="L27" s="90">
        <f>ROUND(K27+L26,2)</f>
        <v/>
      </c>
      <c r="N27" s="34" t="n"/>
    </row>
    <row r="28" ht="24" customHeight="1">
      <c r="A28" s="66" t="n">
        <v>45828</v>
      </c>
      <c r="B28" s="91">
        <f>B27+1</f>
        <v/>
      </c>
      <c r="C28" s="89">
        <f>SUMIFS(Dados!$I$1:$I$1910,Dados!$B$1:$B$1910,C$7,Dados!$A$1:$A$1910,$A28)</f>
        <v/>
      </c>
      <c r="D28" s="89">
        <f>SUMIFS(Dados!$I$1:$I$1910,Dados!$B$1:$B$1910,D$7,Dados!$A$1:$A$1910,$A28)</f>
        <v/>
      </c>
      <c r="E28" s="89">
        <f>SUMIFS(Dados!$I$1:$I$1910,Dados!$B$1:$B$1910,E$7,Dados!$A$1:$A$1910,$A28)</f>
        <v/>
      </c>
      <c r="F28" s="89">
        <f>SUMIFS(Dados!$I$1:$I$1910,Dados!$B$1:$B$1910,F$7,Dados!$A$1:$A$1910,$A28)</f>
        <v/>
      </c>
      <c r="G28" s="89">
        <f>SUMIFS(Dados!$I$1:$I$1910,Dados!$B$1:$B$1910,G$7,Dados!$A$1:$A$1910,$A28)</f>
        <v/>
      </c>
      <c r="H28" s="89">
        <f>SUMIFS(Dados!$I$1:$I$1910,Dados!$B$1:$B$1910,H$7,Dados!$A$1:$A$1910,$A28)</f>
        <v/>
      </c>
      <c r="I28" s="89">
        <f>SUM(C28:H28)</f>
        <v/>
      </c>
      <c r="J28" s="89">
        <f>ROUND(I28*$L$4,2)</f>
        <v/>
      </c>
      <c r="K28" s="93">
        <f>SUM(I28:J28)</f>
        <v/>
      </c>
      <c r="L28" s="90">
        <f>ROUND(K28+L27,2)</f>
        <v/>
      </c>
      <c r="N28" s="34" t="n"/>
    </row>
    <row r="29" ht="24" customHeight="1">
      <c r="A29" s="66" t="n">
        <v>45843</v>
      </c>
      <c r="B29" s="91">
        <f>B28+1</f>
        <v/>
      </c>
      <c r="C29" s="89">
        <f>SUMIFS(Dados!$I$1:$I$1910,Dados!$B$1:$B$1910,C$7,Dados!$A$1:$A$1910,$A29)</f>
        <v/>
      </c>
      <c r="D29" s="89">
        <f>SUMIFS(Dados!$I$1:$I$1910,Dados!$B$1:$B$1910,D$7,Dados!$A$1:$A$1910,$A29)</f>
        <v/>
      </c>
      <c r="E29" s="89">
        <f>SUMIFS(Dados!$I$1:$I$1910,Dados!$B$1:$B$1910,E$7,Dados!$A$1:$A$1910,$A29)</f>
        <v/>
      </c>
      <c r="F29" s="89">
        <f>SUMIFS(Dados!$I$1:$I$1910,Dados!$B$1:$B$1910,F$7,Dados!$A$1:$A$1910,$A29)</f>
        <v/>
      </c>
      <c r="G29" s="89">
        <f>SUMIFS(Dados!$I$1:$I$1910,Dados!$B$1:$B$1910,G$7,Dados!$A$1:$A$1910,$A29)</f>
        <v/>
      </c>
      <c r="H29" s="89">
        <f>SUMIFS(Dados!$I$1:$I$1910,Dados!$B$1:$B$1910,H$7,Dados!$A$1:$A$1910,$A29)</f>
        <v/>
      </c>
      <c r="I29" s="89">
        <f>SUM(C29:H29)</f>
        <v/>
      </c>
      <c r="J29" s="89">
        <f>ROUND(I29*$L$4,2)</f>
        <v/>
      </c>
      <c r="K29" s="93">
        <f>SUM(I29:J29)</f>
        <v/>
      </c>
      <c r="L29" s="90">
        <f>ROUND(K29+L28,2)</f>
        <v/>
      </c>
      <c r="N29" s="34" t="n"/>
    </row>
    <row r="30" ht="24" customHeight="1">
      <c r="A30" s="66" t="n">
        <v>45858</v>
      </c>
      <c r="B30" s="91">
        <f>B29+1</f>
        <v/>
      </c>
      <c r="C30" s="89">
        <f>SUMIFS(Dados!$I$1:$I$1910,Dados!$B$1:$B$1910,C$7,Dados!$A$1:$A$1910,$A30)</f>
        <v/>
      </c>
      <c r="D30" s="89">
        <f>SUMIFS(Dados!$I$1:$I$1910,Dados!$B$1:$B$1910,D$7,Dados!$A$1:$A$1910,$A30)</f>
        <v/>
      </c>
      <c r="E30" s="89">
        <f>SUMIFS(Dados!$I$1:$I$1910,Dados!$B$1:$B$1910,E$7,Dados!$A$1:$A$1910,$A30)</f>
        <v/>
      </c>
      <c r="F30" s="89">
        <f>SUMIFS(Dados!$I$1:$I$1910,Dados!$B$1:$B$1910,F$7,Dados!$A$1:$A$1910,$A30)</f>
        <v/>
      </c>
      <c r="G30" s="89">
        <f>SUMIFS(Dados!$I$1:$I$1910,Dados!$B$1:$B$1910,G$7,Dados!$A$1:$A$1910,$A30)</f>
        <v/>
      </c>
      <c r="H30" s="89">
        <f>SUMIFS(Dados!$I$1:$I$1910,Dados!$B$1:$B$1910,H$7,Dados!$A$1:$A$1910,$A30)</f>
        <v/>
      </c>
      <c r="I30" s="89">
        <f>SUM(C30:H30)</f>
        <v/>
      </c>
      <c r="J30" s="89">
        <f>ROUND(I30*$L$4,2)</f>
        <v/>
      </c>
      <c r="K30" s="93">
        <f>SUM(I30:J30)</f>
        <v/>
      </c>
      <c r="L30" s="90">
        <f>ROUND(K30+L29,2)</f>
        <v/>
      </c>
      <c r="N30" s="34" t="n"/>
    </row>
    <row r="31" ht="24" customHeight="1">
      <c r="A31" s="66" t="n">
        <v>45874</v>
      </c>
      <c r="B31" s="91">
        <f>B30+1</f>
        <v/>
      </c>
      <c r="C31" s="89">
        <f>SUMIFS(Dados!$I$1:$I$1910,Dados!$B$1:$B$1910,C$7,Dados!$A$1:$A$1910,$A31)</f>
        <v/>
      </c>
      <c r="D31" s="89">
        <f>SUMIFS(Dados!$I$1:$I$1910,Dados!$B$1:$B$1910,D$7,Dados!$A$1:$A$1910,$A31)</f>
        <v/>
      </c>
      <c r="E31" s="89">
        <f>SUMIFS(Dados!$I$1:$I$1910,Dados!$B$1:$B$1910,E$7,Dados!$A$1:$A$1910,$A31)</f>
        <v/>
      </c>
      <c r="F31" s="89">
        <f>SUMIFS(Dados!$I$1:$I$1910,Dados!$B$1:$B$1910,F$7,Dados!$A$1:$A$1910,$A31)</f>
        <v/>
      </c>
      <c r="G31" s="89">
        <f>SUMIFS(Dados!$I$1:$I$1910,Dados!$B$1:$B$1910,G$7,Dados!$A$1:$A$1910,$A31)</f>
        <v/>
      </c>
      <c r="H31" s="89">
        <f>SUMIFS(Dados!$I$1:$I$1910,Dados!$B$1:$B$1910,H$7,Dados!$A$1:$A$1910,$A31)</f>
        <v/>
      </c>
      <c r="I31" s="89">
        <f>SUM(C31:H31)</f>
        <v/>
      </c>
      <c r="J31" s="89">
        <f>ROUND(I31*$L$4,2)</f>
        <v/>
      </c>
      <c r="K31" s="93">
        <f>SUM(I31:J31)</f>
        <v/>
      </c>
      <c r="L31" s="90">
        <f>ROUND(K31+L30,2)</f>
        <v/>
      </c>
      <c r="N31" s="34" t="n"/>
    </row>
    <row r="32" ht="24" customHeight="1">
      <c r="A32" s="66" t="n">
        <v>45889</v>
      </c>
      <c r="B32" s="91">
        <f>B31+1</f>
        <v/>
      </c>
      <c r="C32" s="89">
        <f>SUMIFS(Dados!$I$1:$I$1910,Dados!$B$1:$B$1910,C$7,Dados!$A$1:$A$1910,$A32)</f>
        <v/>
      </c>
      <c r="D32" s="89">
        <f>SUMIFS(Dados!$I$1:$I$1910,Dados!$B$1:$B$1910,D$7,Dados!$A$1:$A$1910,$A32)</f>
        <v/>
      </c>
      <c r="E32" s="89">
        <f>SUMIFS(Dados!$I$1:$I$1910,Dados!$B$1:$B$1910,E$7,Dados!$A$1:$A$1910,$A32)</f>
        <v/>
      </c>
      <c r="F32" s="89">
        <f>SUMIFS(Dados!$I$1:$I$1910,Dados!$B$1:$B$1910,F$7,Dados!$A$1:$A$1910,$A32)</f>
        <v/>
      </c>
      <c r="G32" s="89">
        <f>SUMIFS(Dados!$I$1:$I$1910,Dados!$B$1:$B$1910,G$7,Dados!$A$1:$A$1910,$A32)</f>
        <v/>
      </c>
      <c r="H32" s="89">
        <f>SUMIFS(Dados!$I$1:$I$1910,Dados!$B$1:$B$1910,H$7,Dados!$A$1:$A$1910,$A32)</f>
        <v/>
      </c>
      <c r="I32" s="89">
        <f>SUM(C32:H32)</f>
        <v/>
      </c>
      <c r="J32" s="89">
        <f>ROUND(I32*$L$4,2)</f>
        <v/>
      </c>
      <c r="K32" s="93">
        <f>SUM(I32:J32)</f>
        <v/>
      </c>
      <c r="L32" s="90">
        <f>ROUND(K32+L31,2)</f>
        <v/>
      </c>
      <c r="N32" s="34" t="n"/>
    </row>
    <row r="33" ht="24" customHeight="1">
      <c r="A33" s="66" t="n">
        <v>45905</v>
      </c>
      <c r="B33" s="91">
        <f>B32+1</f>
        <v/>
      </c>
      <c r="C33" s="89">
        <f>SUMIFS(Dados!$I$1:$I$1910,Dados!$B$1:$B$1910,C$7,Dados!$A$1:$A$1910,$A33)</f>
        <v/>
      </c>
      <c r="D33" s="89">
        <f>SUMIFS(Dados!$I$1:$I$1910,Dados!$B$1:$B$1910,D$7,Dados!$A$1:$A$1910,$A33)</f>
        <v/>
      </c>
      <c r="E33" s="89">
        <f>SUMIFS(Dados!$I$1:$I$1910,Dados!$B$1:$B$1910,E$7,Dados!$A$1:$A$1910,$A33)</f>
        <v/>
      </c>
      <c r="F33" s="89">
        <f>SUMIFS(Dados!$I$1:$I$1910,Dados!$B$1:$B$1910,F$7,Dados!$A$1:$A$1910,$A33)</f>
        <v/>
      </c>
      <c r="G33" s="89">
        <f>SUMIFS(Dados!$I$1:$I$1910,Dados!$B$1:$B$1910,G$7,Dados!$A$1:$A$1910,$A33)</f>
        <v/>
      </c>
      <c r="H33" s="89">
        <f>SUMIFS(Dados!$I$1:$I$1910,Dados!$B$1:$B$1910,H$7,Dados!$A$1:$A$1910,$A33)</f>
        <v/>
      </c>
      <c r="I33" s="89">
        <f>SUM(C33:H33)</f>
        <v/>
      </c>
      <c r="J33" s="89">
        <f>ROUND(I33*$L$4,2)</f>
        <v/>
      </c>
      <c r="K33" s="93">
        <f>SUM(I33:J33)</f>
        <v/>
      </c>
      <c r="L33" s="90">
        <f>ROUND(K33+L32,2)</f>
        <v/>
      </c>
      <c r="N33" s="34" t="n"/>
    </row>
    <row r="34" ht="24" customHeight="1">
      <c r="A34" s="66" t="n">
        <v>45920</v>
      </c>
      <c r="B34" s="91">
        <f>B33+1</f>
        <v/>
      </c>
      <c r="C34" s="89">
        <f>SUMIFS(Dados!$I$1:$I$1910,Dados!$B$1:$B$1910,C$7,Dados!$A$1:$A$1910,$A34)</f>
        <v/>
      </c>
      <c r="D34" s="89">
        <f>SUMIFS(Dados!$I$1:$I$1910,Dados!$B$1:$B$1910,D$7,Dados!$A$1:$A$1910,$A34)</f>
        <v/>
      </c>
      <c r="E34" s="89">
        <f>SUMIFS(Dados!$I$1:$I$1910,Dados!$B$1:$B$1910,E$7,Dados!$A$1:$A$1910,$A34)</f>
        <v/>
      </c>
      <c r="F34" s="89">
        <f>SUMIFS(Dados!$I$1:$I$1910,Dados!$B$1:$B$1910,F$7,Dados!$A$1:$A$1910,$A34)</f>
        <v/>
      </c>
      <c r="G34" s="89">
        <f>SUMIFS(Dados!$I$1:$I$1910,Dados!$B$1:$B$1910,G$7,Dados!$A$1:$A$1910,$A34)</f>
        <v/>
      </c>
      <c r="H34" s="89">
        <f>SUMIFS(Dados!$I$1:$I$1910,Dados!$B$1:$B$1910,H$7,Dados!$A$1:$A$1910,$A34)</f>
        <v/>
      </c>
      <c r="I34" s="89">
        <f>SUM(C34:H34)</f>
        <v/>
      </c>
      <c r="J34" s="89">
        <f>ROUND(I34*$L$4,2)</f>
        <v/>
      </c>
      <c r="K34" s="93">
        <f>SUM(I34:J34)</f>
        <v/>
      </c>
      <c r="L34" s="90">
        <f>ROUND(K34+L33,2)</f>
        <v/>
      </c>
      <c r="N34" s="34" t="n"/>
    </row>
    <row r="35" ht="24" customHeight="1">
      <c r="A35" s="66" t="n">
        <v>45935</v>
      </c>
      <c r="B35" s="91">
        <f>B34+1</f>
        <v/>
      </c>
      <c r="C35" s="89">
        <f>SUMIFS(Dados!$I$1:$I$1910,Dados!$B$1:$B$1910,C$7,Dados!$A$1:$A$1910,$A35)</f>
        <v/>
      </c>
      <c r="D35" s="89">
        <f>SUMIFS(Dados!$I$1:$I$1910,Dados!$B$1:$B$1910,D$7,Dados!$A$1:$A$1910,$A35)</f>
        <v/>
      </c>
      <c r="E35" s="89">
        <f>SUMIFS(Dados!$I$1:$I$1910,Dados!$B$1:$B$1910,E$7,Dados!$A$1:$A$1910,$A35)</f>
        <v/>
      </c>
      <c r="F35" s="89">
        <f>SUMIFS(Dados!$I$1:$I$1910,Dados!$B$1:$B$1910,F$7,Dados!$A$1:$A$1910,$A35)</f>
        <v/>
      </c>
      <c r="G35" s="89">
        <f>SUMIFS(Dados!$I$1:$I$1910,Dados!$B$1:$B$1910,G$7,Dados!$A$1:$A$1910,$A35)</f>
        <v/>
      </c>
      <c r="H35" s="89">
        <f>SUMIFS(Dados!$I$1:$I$1910,Dados!$B$1:$B$1910,H$7,Dados!$A$1:$A$1910,$A35)</f>
        <v/>
      </c>
      <c r="I35" s="89">
        <f>SUM(C35:H35)</f>
        <v/>
      </c>
      <c r="J35" s="89">
        <f>ROUND(I35*$L$4,2)</f>
        <v/>
      </c>
      <c r="K35" s="93">
        <f>SUM(I35:J35)</f>
        <v/>
      </c>
      <c r="L35" s="90">
        <f>ROUND(K35+L34,2)</f>
        <v/>
      </c>
      <c r="N35" s="34" t="n"/>
    </row>
    <row r="36" ht="24" customHeight="1">
      <c r="A36" s="66" t="n">
        <v>45950</v>
      </c>
      <c r="B36" s="91">
        <f>B35+1</f>
        <v/>
      </c>
      <c r="C36" s="89">
        <f>SUMIFS(Dados!$I$1:$I$1910,Dados!$B$1:$B$1910,C$7,Dados!$A$1:$A$1910,$A36)</f>
        <v/>
      </c>
      <c r="D36" s="89">
        <f>SUMIFS(Dados!$I$1:$I$1910,Dados!$B$1:$B$1910,D$7,Dados!$A$1:$A$1910,$A36)</f>
        <v/>
      </c>
      <c r="E36" s="89">
        <f>SUMIFS(Dados!$I$1:$I$1910,Dados!$B$1:$B$1910,E$7,Dados!$A$1:$A$1910,$A36)</f>
        <v/>
      </c>
      <c r="F36" s="89">
        <f>SUMIFS(Dados!$I$1:$I$1910,Dados!$B$1:$B$1910,F$7,Dados!$A$1:$A$1910,$A36)</f>
        <v/>
      </c>
      <c r="G36" s="89">
        <f>SUMIFS(Dados!$I$1:$I$1910,Dados!$B$1:$B$1910,G$7,Dados!$A$1:$A$1910,$A36)</f>
        <v/>
      </c>
      <c r="H36" s="89">
        <f>SUMIFS(Dados!$I$1:$I$1910,Dados!$B$1:$B$1910,H$7,Dados!$A$1:$A$1910,$A36)</f>
        <v/>
      </c>
      <c r="I36" s="89">
        <f>SUM(C36:H36)</f>
        <v/>
      </c>
      <c r="J36" s="89">
        <f>ROUND(I36*$L$4,2)</f>
        <v/>
      </c>
      <c r="K36" s="93">
        <f>SUM(I36:J36)</f>
        <v/>
      </c>
      <c r="L36" s="90">
        <f>ROUND(K36+L35,2)</f>
        <v/>
      </c>
      <c r="N36" s="34" t="n"/>
    </row>
    <row r="37" ht="24" customHeight="1">
      <c r="A37" s="66" t="n">
        <v>45966</v>
      </c>
      <c r="B37" s="91">
        <f>B36+1</f>
        <v/>
      </c>
      <c r="C37" s="89">
        <f>SUMIFS(Dados!$I$1:$I$1910,Dados!$B$1:$B$1910,C$7,Dados!$A$1:$A$1910,$A37)</f>
        <v/>
      </c>
      <c r="D37" s="89">
        <f>SUMIFS(Dados!$I$1:$I$1910,Dados!$B$1:$B$1910,D$7,Dados!$A$1:$A$1910,$A37)</f>
        <v/>
      </c>
      <c r="E37" s="89">
        <f>SUMIFS(Dados!$I$1:$I$1910,Dados!$B$1:$B$1910,E$7,Dados!$A$1:$A$1910,$A37)</f>
        <v/>
      </c>
      <c r="F37" s="89">
        <f>SUMIFS(Dados!$I$1:$I$1910,Dados!$B$1:$B$1910,F$7,Dados!$A$1:$A$1910,$A37)</f>
        <v/>
      </c>
      <c r="G37" s="89">
        <f>SUMIFS(Dados!$I$1:$I$1910,Dados!$B$1:$B$1910,G$7,Dados!$A$1:$A$1910,$A37)</f>
        <v/>
      </c>
      <c r="H37" s="89">
        <f>SUMIFS(Dados!$I$1:$I$1910,Dados!$B$1:$B$1910,H$7,Dados!$A$1:$A$1910,$A37)</f>
        <v/>
      </c>
      <c r="I37" s="89">
        <f>SUM(C37:H37)</f>
        <v/>
      </c>
      <c r="J37" s="89">
        <f>ROUND(I37*$L$4,2)</f>
        <v/>
      </c>
      <c r="K37" s="93">
        <f>SUM(I37:J37)</f>
        <v/>
      </c>
      <c r="L37" s="90">
        <f>ROUND(K37+L36,2)</f>
        <v/>
      </c>
      <c r="N37" s="34" t="n"/>
    </row>
    <row r="38" ht="24" customHeight="1">
      <c r="A38" s="66" t="n">
        <v>45981</v>
      </c>
      <c r="B38" s="91">
        <f>B37+1</f>
        <v/>
      </c>
      <c r="C38" s="89">
        <f>SUMIFS(Dados!$I$1:$I$1910,Dados!$B$1:$B$1910,C$7,Dados!$A$1:$A$1910,$A38)</f>
        <v/>
      </c>
      <c r="D38" s="89">
        <f>SUMIFS(Dados!$I$1:$I$1910,Dados!$B$1:$B$1910,D$7,Dados!$A$1:$A$1910,$A38)</f>
        <v/>
      </c>
      <c r="E38" s="89">
        <f>SUMIFS(Dados!$I$1:$I$1910,Dados!$B$1:$B$1910,E$7,Dados!$A$1:$A$1910,$A38)</f>
        <v/>
      </c>
      <c r="F38" s="89">
        <f>SUMIFS(Dados!$I$1:$I$1910,Dados!$B$1:$B$1910,F$7,Dados!$A$1:$A$1910,$A38)</f>
        <v/>
      </c>
      <c r="G38" s="89">
        <f>SUMIFS(Dados!$I$1:$I$1910,Dados!$B$1:$B$1910,G$7,Dados!$A$1:$A$1910,$A38)</f>
        <v/>
      </c>
      <c r="H38" s="89">
        <f>SUMIFS(Dados!$I$1:$I$1910,Dados!$B$1:$B$1910,H$7,Dados!$A$1:$A$1910,$A38)</f>
        <v/>
      </c>
      <c r="I38" s="89">
        <f>SUM(C38:H38)</f>
        <v/>
      </c>
      <c r="J38" s="89">
        <f>ROUND(I38*$L$4,2)</f>
        <v/>
      </c>
      <c r="K38" s="93">
        <f>SUM(I38:J38)</f>
        <v/>
      </c>
      <c r="L38" s="90">
        <f>ROUND(K38+L37,2)</f>
        <v/>
      </c>
      <c r="N38" s="34" t="n"/>
    </row>
    <row r="39" ht="24" customHeight="1">
      <c r="A39" s="66" t="n">
        <v>45996</v>
      </c>
      <c r="B39" s="91">
        <f>B38+1</f>
        <v/>
      </c>
      <c r="C39" s="89">
        <f>SUMIFS(Dados!$I$1:$I$1910,Dados!$B$1:$B$1910,C$7,Dados!$A$1:$A$1910,$A39)</f>
        <v/>
      </c>
      <c r="D39" s="89">
        <f>SUMIFS(Dados!$I$1:$I$1910,Dados!$B$1:$B$1910,D$7,Dados!$A$1:$A$1910,$A39)</f>
        <v/>
      </c>
      <c r="E39" s="89">
        <f>SUMIFS(Dados!$I$1:$I$1910,Dados!$B$1:$B$1910,E$7,Dados!$A$1:$A$1910,$A39)</f>
        <v/>
      </c>
      <c r="F39" s="89">
        <f>SUMIFS(Dados!$I$1:$I$1910,Dados!$B$1:$B$1910,F$7,Dados!$A$1:$A$1910,$A39)</f>
        <v/>
      </c>
      <c r="G39" s="89">
        <f>SUMIFS(Dados!$I$1:$I$1910,Dados!$B$1:$B$1910,G$7,Dados!$A$1:$A$1910,$A39)</f>
        <v/>
      </c>
      <c r="H39" s="89">
        <f>SUMIFS(Dados!$I$1:$I$1910,Dados!$B$1:$B$1910,H$7,Dados!$A$1:$A$1910,$A39)</f>
        <v/>
      </c>
      <c r="I39" s="89">
        <f>SUM(C39:H39)</f>
        <v/>
      </c>
      <c r="J39" s="89">
        <f>ROUND(I39*$L$4,2)</f>
        <v/>
      </c>
      <c r="K39" s="93">
        <f>SUM(I39:J39)</f>
        <v/>
      </c>
      <c r="L39" s="90">
        <f>ROUND(K39+L38,2)</f>
        <v/>
      </c>
      <c r="N39" s="34" t="n"/>
    </row>
    <row r="40" ht="24" customHeight="1">
      <c r="A40" s="66" t="n">
        <v>46011</v>
      </c>
      <c r="B40" s="91">
        <f>B39+1</f>
        <v/>
      </c>
      <c r="C40" s="89">
        <f>SUMIFS(Dados!$I$1:$I$1910,Dados!$B$1:$B$1910,C$7,Dados!$A$1:$A$1910,$A40)</f>
        <v/>
      </c>
      <c r="D40" s="89">
        <f>SUMIFS(Dados!$I$1:$I$1910,Dados!$B$1:$B$1910,D$7,Dados!$A$1:$A$1910,$A40)</f>
        <v/>
      </c>
      <c r="E40" s="89">
        <f>SUMIFS(Dados!$I$1:$I$1910,Dados!$B$1:$B$1910,E$7,Dados!$A$1:$A$1910,$A40)</f>
        <v/>
      </c>
      <c r="F40" s="89">
        <f>SUMIFS(Dados!$I$1:$I$1910,Dados!$B$1:$B$1910,F$7,Dados!$A$1:$A$1910,$A40)</f>
        <v/>
      </c>
      <c r="G40" s="89">
        <f>SUMIFS(Dados!$I$1:$I$1910,Dados!$B$1:$B$1910,G$7,Dados!$A$1:$A$1910,$A40)</f>
        <v/>
      </c>
      <c r="H40" s="89">
        <f>SUMIFS(Dados!$I$1:$I$1910,Dados!$B$1:$B$1910,H$7,Dados!$A$1:$A$1910,$A40)</f>
        <v/>
      </c>
      <c r="I40" s="89">
        <f>SUM(C40:H40)</f>
        <v/>
      </c>
      <c r="J40" s="89">
        <f>ROUND(I40*$L$4,2)</f>
        <v/>
      </c>
      <c r="K40" s="93">
        <f>SUM(I40:J40)</f>
        <v/>
      </c>
      <c r="L40" s="90">
        <f>ROUND(K40+L39,2)</f>
        <v/>
      </c>
      <c r="N40" s="34" t="n"/>
    </row>
    <row r="41" ht="24" customHeight="1">
      <c r="A41" s="66" t="n">
        <v>46027</v>
      </c>
      <c r="B41" s="91">
        <f>B40+1</f>
        <v/>
      </c>
      <c r="C41" s="89">
        <f>SUMIFS(Dados!$I$1:$I$1910,Dados!$B$1:$B$1910,C$7,Dados!$A$1:$A$1910,$A41)</f>
        <v/>
      </c>
      <c r="D41" s="89">
        <f>SUMIFS(Dados!$I$1:$I$1910,Dados!$B$1:$B$1910,D$7,Dados!$A$1:$A$1910,$A41)</f>
        <v/>
      </c>
      <c r="E41" s="89">
        <f>SUMIFS(Dados!$I$1:$I$1910,Dados!$B$1:$B$1910,E$7,Dados!$A$1:$A$1910,$A41)</f>
        <v/>
      </c>
      <c r="F41" s="89">
        <f>SUMIFS(Dados!$I$1:$I$1910,Dados!$B$1:$B$1910,F$7,Dados!$A$1:$A$1910,$A41)</f>
        <v/>
      </c>
      <c r="G41" s="89">
        <f>SUMIFS(Dados!$I$1:$I$1910,Dados!$B$1:$B$1910,G$7,Dados!$A$1:$A$1910,$A41)</f>
        <v/>
      </c>
      <c r="H41" s="89">
        <f>SUMIFS(Dados!$I$1:$I$1910,Dados!$B$1:$B$1910,H$7,Dados!$A$1:$A$1910,$A41)</f>
        <v/>
      </c>
      <c r="I41" s="89">
        <f>SUM(C41:H41)</f>
        <v/>
      </c>
      <c r="J41" s="89">
        <f>ROUND(I41*$L$4,2)</f>
        <v/>
      </c>
      <c r="K41" s="93">
        <f>SUM(I41:J41)</f>
        <v/>
      </c>
      <c r="L41" s="90">
        <f>ROUND(K41+L40,2)</f>
        <v/>
      </c>
      <c r="N41" s="34" t="n"/>
    </row>
    <row r="42" ht="24" customHeight="1">
      <c r="A42" s="66" t="n">
        <v>46042</v>
      </c>
      <c r="B42" s="91">
        <f>B41+1</f>
        <v/>
      </c>
      <c r="C42" s="89">
        <f>SUMIFS(Dados!$I$1:$I$1910,Dados!$B$1:$B$1910,C$7,Dados!$A$1:$A$1910,$A42)</f>
        <v/>
      </c>
      <c r="D42" s="89">
        <f>SUMIFS(Dados!$I$1:$I$1910,Dados!$B$1:$B$1910,D$7,Dados!$A$1:$A$1910,$A42)</f>
        <v/>
      </c>
      <c r="E42" s="89">
        <f>SUMIFS(Dados!$I$1:$I$1910,Dados!$B$1:$B$1910,E$7,Dados!$A$1:$A$1910,$A42)</f>
        <v/>
      </c>
      <c r="F42" s="89">
        <f>SUMIFS(Dados!$I$1:$I$1910,Dados!$B$1:$B$1910,F$7,Dados!$A$1:$A$1910,$A42)</f>
        <v/>
      </c>
      <c r="G42" s="89">
        <f>SUMIFS(Dados!$I$1:$I$1910,Dados!$B$1:$B$1910,G$7,Dados!$A$1:$A$1910,$A42)</f>
        <v/>
      </c>
      <c r="H42" s="89">
        <f>SUMIFS(Dados!$I$1:$I$1910,Dados!$B$1:$B$1910,H$7,Dados!$A$1:$A$1910,$A42)</f>
        <v/>
      </c>
      <c r="I42" s="89">
        <f>SUM(C42:H42)</f>
        <v/>
      </c>
      <c r="J42" s="89">
        <f>ROUND(I42*$L$4,2)</f>
        <v/>
      </c>
      <c r="K42" s="93">
        <f>SUM(I42:J42)</f>
        <v/>
      </c>
      <c r="L42" s="90">
        <f>ROUND(K42+L41,2)</f>
        <v/>
      </c>
      <c r="N42" s="34" t="n"/>
    </row>
    <row r="43" ht="24" customHeight="1">
      <c r="A43" s="66" t="n">
        <v>46058</v>
      </c>
      <c r="B43" s="91">
        <f>B42+1</f>
        <v/>
      </c>
      <c r="C43" s="89">
        <f>SUMIFS(Dados!$I$1:$I$1910,Dados!$B$1:$B$1910,C$7,Dados!$A$1:$A$1910,$A43)</f>
        <v/>
      </c>
      <c r="D43" s="89">
        <f>SUMIFS(Dados!$I$1:$I$1910,Dados!$B$1:$B$1910,D$7,Dados!$A$1:$A$1910,$A43)</f>
        <v/>
      </c>
      <c r="E43" s="89">
        <f>SUMIFS(Dados!$I$1:$I$1910,Dados!$B$1:$B$1910,E$7,Dados!$A$1:$A$1910,$A43)</f>
        <v/>
      </c>
      <c r="F43" s="89">
        <f>SUMIFS(Dados!$I$1:$I$1910,Dados!$B$1:$B$1910,F$7,Dados!$A$1:$A$1910,$A43)</f>
        <v/>
      </c>
      <c r="G43" s="89">
        <f>SUMIFS(Dados!$I$1:$I$1910,Dados!$B$1:$B$1910,G$7,Dados!$A$1:$A$1910,$A43)</f>
        <v/>
      </c>
      <c r="H43" s="89">
        <f>SUMIFS(Dados!$I$1:$I$1910,Dados!$B$1:$B$1910,H$7,Dados!$A$1:$A$1910,$A43)</f>
        <v/>
      </c>
      <c r="I43" s="89">
        <f>SUM(C43:H43)</f>
        <v/>
      </c>
      <c r="J43" s="89">
        <f>ROUND(I43*$L$4,2)</f>
        <v/>
      </c>
      <c r="K43" s="93">
        <f>SUM(I43:J43)</f>
        <v/>
      </c>
      <c r="L43" s="90">
        <f>ROUND(K43+L42,2)</f>
        <v/>
      </c>
      <c r="N43" s="34" t="n"/>
    </row>
    <row r="44" ht="24" customHeight="1">
      <c r="A44" s="66" t="n">
        <v>46073</v>
      </c>
      <c r="B44" s="91">
        <f>B43+1</f>
        <v/>
      </c>
      <c r="C44" s="89">
        <f>SUMIFS(Dados!$I$1:$I$1910,Dados!$B$1:$B$1910,C$7,Dados!$A$1:$A$1910,$A44)</f>
        <v/>
      </c>
      <c r="D44" s="89">
        <f>SUMIFS(Dados!$I$1:$I$1910,Dados!$B$1:$B$1910,D$7,Dados!$A$1:$A$1910,$A44)</f>
        <v/>
      </c>
      <c r="E44" s="89">
        <f>SUMIFS(Dados!$I$1:$I$1910,Dados!$B$1:$B$1910,E$7,Dados!$A$1:$A$1910,$A44)</f>
        <v/>
      </c>
      <c r="F44" s="89">
        <f>SUMIFS(Dados!$I$1:$I$1910,Dados!$B$1:$B$1910,F$7,Dados!$A$1:$A$1910,$A44)</f>
        <v/>
      </c>
      <c r="G44" s="89">
        <f>SUMIFS(Dados!$I$1:$I$1910,Dados!$B$1:$B$1910,G$7,Dados!$A$1:$A$1910,$A44)</f>
        <v/>
      </c>
      <c r="H44" s="89">
        <f>SUMIFS(Dados!$I$1:$I$1910,Dados!$B$1:$B$1910,H$7,Dados!$A$1:$A$1910,$A44)</f>
        <v/>
      </c>
      <c r="I44" s="89">
        <f>SUM(C44:H44)</f>
        <v/>
      </c>
      <c r="J44" s="89">
        <f>ROUND(I44*$L$4,2)</f>
        <v/>
      </c>
      <c r="K44" s="93">
        <f>SUM(I44:J44)</f>
        <v/>
      </c>
      <c r="L44" s="90">
        <f>ROUND(K44+L43,2)</f>
        <v/>
      </c>
      <c r="N44" s="34" t="n"/>
    </row>
    <row r="45" ht="24" customHeight="1">
      <c r="A45" s="66" t="n">
        <v>46086</v>
      </c>
      <c r="B45" s="91">
        <f>B44+1</f>
        <v/>
      </c>
      <c r="C45" s="89">
        <f>SUMIFS(Dados!$I$1:$I$1910,Dados!$B$1:$B$1910,C$7,Dados!$A$1:$A$1910,$A45)</f>
        <v/>
      </c>
      <c r="D45" s="89">
        <f>SUMIFS(Dados!$I$1:$I$1910,Dados!$B$1:$B$1910,D$7,Dados!$A$1:$A$1910,$A45)</f>
        <v/>
      </c>
      <c r="E45" s="89">
        <f>SUMIFS(Dados!$I$1:$I$1910,Dados!$B$1:$B$1910,E$7,Dados!$A$1:$A$1910,$A45)</f>
        <v/>
      </c>
      <c r="F45" s="89">
        <f>SUMIFS(Dados!$I$1:$I$1910,Dados!$B$1:$B$1910,F$7,Dados!$A$1:$A$1910,$A45)</f>
        <v/>
      </c>
      <c r="G45" s="89">
        <f>SUMIFS(Dados!$I$1:$I$1910,Dados!$B$1:$B$1910,G$7,Dados!$A$1:$A$1910,$A45)</f>
        <v/>
      </c>
      <c r="H45" s="89">
        <f>SUMIFS(Dados!$I$1:$I$1910,Dados!$B$1:$B$1910,H$7,Dados!$A$1:$A$1910,$A45)</f>
        <v/>
      </c>
      <c r="I45" s="89">
        <f>SUM(C45:H45)</f>
        <v/>
      </c>
      <c r="J45" s="89">
        <f>ROUND(I45*$L$4,2)</f>
        <v/>
      </c>
      <c r="K45" s="93">
        <f>SUM(I45:J45)</f>
        <v/>
      </c>
      <c r="L45" s="90">
        <f>ROUND(K45+L44,2)</f>
        <v/>
      </c>
      <c r="N45" s="34" t="n"/>
    </row>
    <row r="46" ht="24" customHeight="1">
      <c r="A46" s="66" t="n">
        <v>46101</v>
      </c>
      <c r="B46" s="91">
        <f>B45+1</f>
        <v/>
      </c>
      <c r="C46" s="89">
        <f>SUMIFS(Dados!$I$1:$I$1910,Dados!$B$1:$B$1910,C$7,Dados!$A$1:$A$1910,$A46)</f>
        <v/>
      </c>
      <c r="D46" s="89">
        <f>SUMIFS(Dados!$I$1:$I$1910,Dados!$B$1:$B$1910,D$7,Dados!$A$1:$A$1910,$A46)</f>
        <v/>
      </c>
      <c r="E46" s="89">
        <f>SUMIFS(Dados!$I$1:$I$1910,Dados!$B$1:$B$1910,E$7,Dados!$A$1:$A$1910,$A46)</f>
        <v/>
      </c>
      <c r="F46" s="89">
        <f>SUMIFS(Dados!$I$1:$I$1910,Dados!$B$1:$B$1910,F$7,Dados!$A$1:$A$1910,$A46)</f>
        <v/>
      </c>
      <c r="G46" s="89">
        <f>SUMIFS(Dados!$I$1:$I$1910,Dados!$B$1:$B$1910,G$7,Dados!$A$1:$A$1910,$A46)</f>
        <v/>
      </c>
      <c r="H46" s="89">
        <f>SUMIFS(Dados!$I$1:$I$1910,Dados!$B$1:$B$1910,H$7,Dados!$A$1:$A$1910,$A46)</f>
        <v/>
      </c>
      <c r="I46" s="89">
        <f>SUM(C46:H46)</f>
        <v/>
      </c>
      <c r="J46" s="89">
        <f>ROUND(I46*$L$4,2)</f>
        <v/>
      </c>
      <c r="K46" s="93">
        <f>SUM(I46:J46)</f>
        <v/>
      </c>
      <c r="L46" s="90">
        <f>ROUND(K46+L45,2)</f>
        <v/>
      </c>
      <c r="N46" s="34" t="n"/>
    </row>
    <row r="47" ht="24" customHeight="1">
      <c r="A47" s="66" t="n">
        <v>46117</v>
      </c>
      <c r="B47" s="91">
        <f>B46+1</f>
        <v/>
      </c>
      <c r="C47" s="89">
        <f>SUMIFS(Dados!$I$1:$I$1910,Dados!$B$1:$B$1910,C$7,Dados!$A$1:$A$1910,$A47)</f>
        <v/>
      </c>
      <c r="D47" s="89">
        <f>SUMIFS(Dados!$I$1:$I$1910,Dados!$B$1:$B$1910,D$7,Dados!$A$1:$A$1910,$A47)</f>
        <v/>
      </c>
      <c r="E47" s="89">
        <f>SUMIFS(Dados!$I$1:$I$1910,Dados!$B$1:$B$1910,E$7,Dados!$A$1:$A$1910,$A47)</f>
        <v/>
      </c>
      <c r="F47" s="89">
        <f>SUMIFS(Dados!$I$1:$I$1910,Dados!$B$1:$B$1910,F$7,Dados!$A$1:$A$1910,$A47)</f>
        <v/>
      </c>
      <c r="G47" s="89">
        <f>SUMIFS(Dados!$I$1:$I$1910,Dados!$B$1:$B$1910,G$7,Dados!$A$1:$A$1910,$A47)</f>
        <v/>
      </c>
      <c r="H47" s="89">
        <f>SUMIFS(Dados!$I$1:$I$1910,Dados!$B$1:$B$1910,H$7,Dados!$A$1:$A$1910,$A47)</f>
        <v/>
      </c>
      <c r="I47" s="89">
        <f>SUM(C47:H47)</f>
        <v/>
      </c>
      <c r="J47" s="89">
        <f>ROUND(I47*$L$4,2)</f>
        <v/>
      </c>
      <c r="K47" s="93">
        <f>SUM(I47:J47)</f>
        <v/>
      </c>
      <c r="L47" s="90">
        <f>ROUND(K47+L46,2)</f>
        <v/>
      </c>
      <c r="N47" s="34" t="n"/>
    </row>
    <row r="48" ht="24" customHeight="1">
      <c r="A48" s="66" t="n">
        <v>46132</v>
      </c>
      <c r="B48" s="91">
        <f>B47+1</f>
        <v/>
      </c>
      <c r="C48" s="89">
        <f>SUMIFS(Dados!$I$1:$I$1910,Dados!$B$1:$B$1910,C$7,Dados!$A$1:$A$1910,$A48)</f>
        <v/>
      </c>
      <c r="D48" s="89">
        <f>SUMIFS(Dados!$I$1:$I$1910,Dados!$B$1:$B$1910,D$7,Dados!$A$1:$A$1910,$A48)</f>
        <v/>
      </c>
      <c r="E48" s="89">
        <f>SUMIFS(Dados!$I$1:$I$1910,Dados!$B$1:$B$1910,E$7,Dados!$A$1:$A$1910,$A48)</f>
        <v/>
      </c>
      <c r="F48" s="89">
        <f>SUMIFS(Dados!$I$1:$I$1910,Dados!$B$1:$B$1910,F$7,Dados!$A$1:$A$1910,$A48)</f>
        <v/>
      </c>
      <c r="G48" s="89">
        <f>SUMIFS(Dados!$I$1:$I$1910,Dados!$B$1:$B$1910,G$7,Dados!$A$1:$A$1910,$A48)</f>
        <v/>
      </c>
      <c r="H48" s="89">
        <f>SUMIFS(Dados!$I$1:$I$1910,Dados!$B$1:$B$1910,H$7,Dados!$A$1:$A$1910,$A48)</f>
        <v/>
      </c>
      <c r="I48" s="89">
        <f>SUM(C48:H48)</f>
        <v/>
      </c>
      <c r="J48" s="89">
        <f>ROUND(I48*$L$4,2)</f>
        <v/>
      </c>
      <c r="K48" s="93">
        <f>SUM(I48:J48)</f>
        <v/>
      </c>
      <c r="L48" s="90">
        <f>ROUND(K48+L47,2)</f>
        <v/>
      </c>
      <c r="N48" s="34" t="n"/>
    </row>
    <row r="49" ht="24" customHeight="1">
      <c r="A49" s="66" t="n">
        <v>46147</v>
      </c>
      <c r="B49" s="91">
        <f>B48+1</f>
        <v/>
      </c>
      <c r="C49" s="89">
        <f>SUMIFS(Dados!$I$1:$I$1910,Dados!$B$1:$B$1910,C$7,Dados!$A$1:$A$1910,$A49)</f>
        <v/>
      </c>
      <c r="D49" s="89">
        <f>SUMIFS(Dados!$I$1:$I$1910,Dados!$B$1:$B$1910,D$7,Dados!$A$1:$A$1910,$A49)</f>
        <v/>
      </c>
      <c r="E49" s="89">
        <f>SUMIFS(Dados!$I$1:$I$1910,Dados!$B$1:$B$1910,E$7,Dados!$A$1:$A$1910,$A49)</f>
        <v/>
      </c>
      <c r="F49" s="89">
        <f>SUMIFS(Dados!$I$1:$I$1910,Dados!$B$1:$B$1910,F$7,Dados!$A$1:$A$1910,$A49)</f>
        <v/>
      </c>
      <c r="G49" s="89">
        <f>SUMIFS(Dados!$I$1:$I$1910,Dados!$B$1:$B$1910,G$7,Dados!$A$1:$A$1910,$A49)</f>
        <v/>
      </c>
      <c r="H49" s="89">
        <f>SUMIFS(Dados!$I$1:$I$1910,Dados!$B$1:$B$1910,H$7,Dados!$A$1:$A$1910,$A49)</f>
        <v/>
      </c>
      <c r="I49" s="89">
        <f>SUM(C49:H49)</f>
        <v/>
      </c>
      <c r="J49" s="89">
        <f>ROUND(I49*$L$4,2)</f>
        <v/>
      </c>
      <c r="K49" s="93">
        <f>SUM(I49:J49)</f>
        <v/>
      </c>
      <c r="L49" s="90">
        <f>ROUND(K49+L48,2)</f>
        <v/>
      </c>
      <c r="N49" s="34" t="n"/>
    </row>
    <row r="50" ht="24" customHeight="1">
      <c r="A50" s="66" t="n">
        <v>46162</v>
      </c>
      <c r="B50" s="91">
        <f>B49+1</f>
        <v/>
      </c>
      <c r="C50" s="89">
        <f>SUMIFS(Dados!$I$1:$I$1910,Dados!$B$1:$B$1910,C$7,Dados!$A$1:$A$1910,$A50)</f>
        <v/>
      </c>
      <c r="D50" s="89">
        <f>SUMIFS(Dados!$I$1:$I$1910,Dados!$B$1:$B$1910,D$7,Dados!$A$1:$A$1910,$A50)</f>
        <v/>
      </c>
      <c r="E50" s="89">
        <f>SUMIFS(Dados!$I$1:$I$1910,Dados!$B$1:$B$1910,E$7,Dados!$A$1:$A$1910,$A50)</f>
        <v/>
      </c>
      <c r="F50" s="89">
        <f>SUMIFS(Dados!$I$1:$I$1910,Dados!$B$1:$B$1910,F$7,Dados!$A$1:$A$1910,$A50)</f>
        <v/>
      </c>
      <c r="G50" s="89">
        <f>SUMIFS(Dados!$I$1:$I$1910,Dados!$B$1:$B$1910,G$7,Dados!$A$1:$A$1910,$A50)</f>
        <v/>
      </c>
      <c r="H50" s="89">
        <f>SUMIFS(Dados!$I$1:$I$1910,Dados!$B$1:$B$1910,H$7,Dados!$A$1:$A$1910,$A50)</f>
        <v/>
      </c>
      <c r="I50" s="89">
        <f>SUM(C50:H50)</f>
        <v/>
      </c>
      <c r="J50" s="89">
        <f>ROUND(I50*$L$4,2)</f>
        <v/>
      </c>
      <c r="K50" s="93">
        <f>SUM(I50:J50)</f>
        <v/>
      </c>
      <c r="L50" s="90">
        <f>ROUND(K50+L49,2)</f>
        <v/>
      </c>
      <c r="N50" s="34" t="n"/>
    </row>
    <row r="51" ht="24" customHeight="1">
      <c r="A51" s="66" t="n">
        <v>46178</v>
      </c>
      <c r="B51" s="91">
        <f>B50+1</f>
        <v/>
      </c>
      <c r="C51" s="89">
        <f>SUMIFS(Dados!$I$1:$I$1910,Dados!$B$1:$B$1910,C$7,Dados!$A$1:$A$1910,$A51)</f>
        <v/>
      </c>
      <c r="D51" s="89">
        <f>SUMIFS(Dados!$I$1:$I$1910,Dados!$B$1:$B$1910,D$7,Dados!$A$1:$A$1910,$A51)</f>
        <v/>
      </c>
      <c r="E51" s="89">
        <f>SUMIFS(Dados!$I$1:$I$1910,Dados!$B$1:$B$1910,E$7,Dados!$A$1:$A$1910,$A51)</f>
        <v/>
      </c>
      <c r="F51" s="89">
        <f>SUMIFS(Dados!$I$1:$I$1910,Dados!$B$1:$B$1910,F$7,Dados!$A$1:$A$1910,$A51)</f>
        <v/>
      </c>
      <c r="G51" s="89">
        <f>SUMIFS(Dados!$I$1:$I$1910,Dados!$B$1:$B$1910,G$7,Dados!$A$1:$A$1910,$A51)</f>
        <v/>
      </c>
      <c r="H51" s="89">
        <f>SUMIFS(Dados!$I$1:$I$1910,Dados!$B$1:$B$1910,H$7,Dados!$A$1:$A$1910,$A51)</f>
        <v/>
      </c>
      <c r="I51" s="89">
        <f>SUM(C51:H51)</f>
        <v/>
      </c>
      <c r="J51" s="89">
        <f>ROUND(I51*$L$4,2)</f>
        <v/>
      </c>
      <c r="K51" s="93">
        <f>SUM(I51:J51)</f>
        <v/>
      </c>
      <c r="L51" s="90">
        <f>ROUND(K51+L50,2)</f>
        <v/>
      </c>
      <c r="N51" s="34" t="n"/>
    </row>
    <row r="52" ht="24" customHeight="1">
      <c r="A52" s="66" t="n">
        <v>46193</v>
      </c>
      <c r="B52" s="91">
        <f>B51+1</f>
        <v/>
      </c>
      <c r="C52" s="89">
        <f>SUMIFS(Dados!$I$1:$I$1910,Dados!$B$1:$B$1910,C$7,Dados!$A$1:$A$1910,$A52)</f>
        <v/>
      </c>
      <c r="D52" s="89">
        <f>SUMIFS(Dados!$I$1:$I$1910,Dados!$B$1:$B$1910,D$7,Dados!$A$1:$A$1910,$A52)</f>
        <v/>
      </c>
      <c r="E52" s="89">
        <f>SUMIFS(Dados!$I$1:$I$1910,Dados!$B$1:$B$1910,E$7,Dados!$A$1:$A$1910,$A52)</f>
        <v/>
      </c>
      <c r="F52" s="89">
        <f>SUMIFS(Dados!$I$1:$I$1910,Dados!$B$1:$B$1910,F$7,Dados!$A$1:$A$1910,$A52)</f>
        <v/>
      </c>
      <c r="G52" s="89">
        <f>SUMIFS(Dados!$I$1:$I$1910,Dados!$B$1:$B$1910,G$7,Dados!$A$1:$A$1910,$A52)</f>
        <v/>
      </c>
      <c r="H52" s="89">
        <f>SUMIFS(Dados!$I$1:$I$1910,Dados!$B$1:$B$1910,H$7,Dados!$A$1:$A$1910,$A52)</f>
        <v/>
      </c>
      <c r="I52" s="89">
        <f>SUM(C52:H52)</f>
        <v/>
      </c>
      <c r="J52" s="89">
        <f>ROUND(I52*$L$4,2)</f>
        <v/>
      </c>
      <c r="K52" s="93">
        <f>SUM(I52:J52)</f>
        <v/>
      </c>
      <c r="L52" s="90">
        <f>ROUND(K52+L51,2)</f>
        <v/>
      </c>
      <c r="N52" s="34" t="n"/>
    </row>
    <row r="53" ht="24" customHeight="1">
      <c r="A53" s="66" t="n">
        <v>46208</v>
      </c>
      <c r="B53" s="91">
        <f>B52+1</f>
        <v/>
      </c>
      <c r="C53" s="89">
        <f>SUMIFS(Dados!$I$1:$I$1910,Dados!$B$1:$B$1910,C$7,Dados!$A$1:$A$1910,$A53)</f>
        <v/>
      </c>
      <c r="D53" s="89">
        <f>SUMIFS(Dados!$I$1:$I$1910,Dados!$B$1:$B$1910,D$7,Dados!$A$1:$A$1910,$A53)</f>
        <v/>
      </c>
      <c r="E53" s="89">
        <f>SUMIFS(Dados!$I$1:$I$1910,Dados!$B$1:$B$1910,E$7,Dados!$A$1:$A$1910,$A53)</f>
        <v/>
      </c>
      <c r="F53" s="89">
        <f>SUMIFS(Dados!$I$1:$I$1910,Dados!$B$1:$B$1910,F$7,Dados!$A$1:$A$1910,$A53)</f>
        <v/>
      </c>
      <c r="G53" s="89">
        <f>SUMIFS(Dados!$I$1:$I$1910,Dados!$B$1:$B$1910,G$7,Dados!$A$1:$A$1910,$A53)</f>
        <v/>
      </c>
      <c r="H53" s="89">
        <f>SUMIFS(Dados!$I$1:$I$1910,Dados!$B$1:$B$1910,H$7,Dados!$A$1:$A$1910,$A53)</f>
        <v/>
      </c>
      <c r="I53" s="89">
        <f>SUM(C53:H53)</f>
        <v/>
      </c>
      <c r="J53" s="89">
        <f>ROUND(I53*$L$4,2)</f>
        <v/>
      </c>
      <c r="K53" s="93">
        <f>SUM(I53:J53)</f>
        <v/>
      </c>
      <c r="L53" s="90">
        <f>ROUND(K53+L52,2)</f>
        <v/>
      </c>
      <c r="N53" s="34" t="n"/>
    </row>
    <row r="54" ht="24" customHeight="1">
      <c r="A54" s="66" t="n">
        <v>46223</v>
      </c>
      <c r="B54" s="91">
        <f>B53+1</f>
        <v/>
      </c>
      <c r="C54" s="89">
        <f>SUMIFS(Dados!$I$1:$I$1910,Dados!$B$1:$B$1910,C$7,Dados!$A$1:$A$1910,$A54)</f>
        <v/>
      </c>
      <c r="D54" s="89">
        <f>SUMIFS(Dados!$I$1:$I$1910,Dados!$B$1:$B$1910,D$7,Dados!$A$1:$A$1910,$A54)</f>
        <v/>
      </c>
      <c r="E54" s="89">
        <f>SUMIFS(Dados!$I$1:$I$1910,Dados!$B$1:$B$1910,E$7,Dados!$A$1:$A$1910,$A54)</f>
        <v/>
      </c>
      <c r="F54" s="89">
        <f>SUMIFS(Dados!$I$1:$I$1910,Dados!$B$1:$B$1910,F$7,Dados!$A$1:$A$1910,$A54)</f>
        <v/>
      </c>
      <c r="G54" s="89">
        <f>SUMIFS(Dados!$I$1:$I$1910,Dados!$B$1:$B$1910,G$7,Dados!$A$1:$A$1910,$A54)</f>
        <v/>
      </c>
      <c r="H54" s="89">
        <f>SUMIFS(Dados!$I$1:$I$1910,Dados!$B$1:$B$1910,H$7,Dados!$A$1:$A$1910,$A54)</f>
        <v/>
      </c>
      <c r="I54" s="89">
        <f>SUM(C54:H54)</f>
        <v/>
      </c>
      <c r="J54" s="89">
        <f>ROUND(I54*$L$4,2)</f>
        <v/>
      </c>
      <c r="K54" s="93">
        <f>SUM(I54:J54)</f>
        <v/>
      </c>
      <c r="L54" s="90">
        <f>ROUND(K54+L53,2)</f>
        <v/>
      </c>
      <c r="N54" s="34" t="n"/>
    </row>
    <row r="55" ht="24" customHeight="1">
      <c r="A55" s="66" t="n">
        <v>46239</v>
      </c>
      <c r="B55" s="91">
        <f>B54+1</f>
        <v/>
      </c>
      <c r="C55" s="89">
        <f>SUMIFS(Dados!$I$1:$I$1910,Dados!$B$1:$B$1910,C$7,Dados!$A$1:$A$1910,$A55)</f>
        <v/>
      </c>
      <c r="D55" s="89">
        <f>SUMIFS(Dados!$I$1:$I$1910,Dados!$B$1:$B$1910,D$7,Dados!$A$1:$A$1910,$A55)</f>
        <v/>
      </c>
      <c r="E55" s="89">
        <f>SUMIFS(Dados!$I$1:$I$1910,Dados!$B$1:$B$1910,E$7,Dados!$A$1:$A$1910,$A55)</f>
        <v/>
      </c>
      <c r="F55" s="89">
        <f>SUMIFS(Dados!$I$1:$I$1910,Dados!$B$1:$B$1910,F$7,Dados!$A$1:$A$1910,$A55)</f>
        <v/>
      </c>
      <c r="G55" s="89">
        <f>SUMIFS(Dados!$I$1:$I$1910,Dados!$B$1:$B$1910,G$7,Dados!$A$1:$A$1910,$A55)</f>
        <v/>
      </c>
      <c r="H55" s="89">
        <f>SUMIFS(Dados!$I$1:$I$1910,Dados!$B$1:$B$1910,H$7,Dados!$A$1:$A$1910,$A55)</f>
        <v/>
      </c>
      <c r="I55" s="89">
        <f>SUM(C55:H55)</f>
        <v/>
      </c>
      <c r="J55" s="89">
        <f>ROUND(I55*$L$4,2)</f>
        <v/>
      </c>
      <c r="K55" s="93">
        <f>SUM(I55:J55)</f>
        <v/>
      </c>
      <c r="L55" s="90">
        <f>ROUND(K55+L54,2)</f>
        <v/>
      </c>
      <c r="N55" s="34" t="n"/>
    </row>
    <row r="56" ht="24" customHeight="1">
      <c r="A56" s="66" t="n">
        <v>46254</v>
      </c>
      <c r="B56" s="91">
        <f>B55+1</f>
        <v/>
      </c>
      <c r="C56" s="89">
        <f>SUMIFS(Dados!$I$1:$I$1910,Dados!$B$1:$B$1910,C$7,Dados!$A$1:$A$1910,$A56)</f>
        <v/>
      </c>
      <c r="D56" s="89">
        <f>SUMIFS(Dados!$I$1:$I$1910,Dados!$B$1:$B$1910,D$7,Dados!$A$1:$A$1910,$A56)</f>
        <v/>
      </c>
      <c r="E56" s="89">
        <f>SUMIFS(Dados!$I$1:$I$1910,Dados!$B$1:$B$1910,E$7,Dados!$A$1:$A$1910,$A56)</f>
        <v/>
      </c>
      <c r="F56" s="89">
        <f>SUMIFS(Dados!$I$1:$I$1910,Dados!$B$1:$B$1910,F$7,Dados!$A$1:$A$1910,$A56)</f>
        <v/>
      </c>
      <c r="G56" s="89">
        <f>SUMIFS(Dados!$I$1:$I$1910,Dados!$B$1:$B$1910,G$7,Dados!$A$1:$A$1910,$A56)</f>
        <v/>
      </c>
      <c r="H56" s="89">
        <f>SUMIFS(Dados!$I$1:$I$1910,Dados!$B$1:$B$1910,H$7,Dados!$A$1:$A$1910,$A56)</f>
        <v/>
      </c>
      <c r="I56" s="89">
        <f>SUM(C56:H56)</f>
        <v/>
      </c>
      <c r="J56" s="89">
        <f>ROUND(I56*$L$4,2)</f>
        <v/>
      </c>
      <c r="K56" s="93">
        <f>SUM(I56:J56)</f>
        <v/>
      </c>
      <c r="L56" s="90">
        <f>ROUND(K56+L55,2)</f>
        <v/>
      </c>
      <c r="N56" s="34" t="n"/>
    </row>
    <row r="57" ht="24" customHeight="1">
      <c r="A57" s="66" t="n">
        <v>46270</v>
      </c>
      <c r="B57" s="91">
        <f>B56+1</f>
        <v/>
      </c>
      <c r="C57" s="89">
        <f>SUMIFS(Dados!$I$1:$I$1910,Dados!$B$1:$B$1910,C$7,Dados!$A$1:$A$1910,$A57)</f>
        <v/>
      </c>
      <c r="D57" s="89">
        <f>SUMIFS(Dados!$I$1:$I$1910,Dados!$B$1:$B$1910,D$7,Dados!$A$1:$A$1910,$A57)</f>
        <v/>
      </c>
      <c r="E57" s="89">
        <f>SUMIFS(Dados!$I$1:$I$1910,Dados!$B$1:$B$1910,E$7,Dados!$A$1:$A$1910,$A57)</f>
        <v/>
      </c>
      <c r="F57" s="89">
        <f>SUMIFS(Dados!$I$1:$I$1910,Dados!$B$1:$B$1910,F$7,Dados!$A$1:$A$1910,$A57)</f>
        <v/>
      </c>
      <c r="G57" s="89">
        <f>SUMIFS(Dados!$I$1:$I$1910,Dados!$B$1:$B$1910,G$7,Dados!$A$1:$A$1910,$A57)</f>
        <v/>
      </c>
      <c r="H57" s="89">
        <f>SUMIFS(Dados!$I$1:$I$1910,Dados!$B$1:$B$1910,H$7,Dados!$A$1:$A$1910,$A57)</f>
        <v/>
      </c>
      <c r="I57" s="89">
        <f>SUM(C57:H57)</f>
        <v/>
      </c>
      <c r="J57" s="89">
        <f>ROUND(I57*$L$4,2)</f>
        <v/>
      </c>
      <c r="K57" s="93">
        <f>SUM(I57:J57)</f>
        <v/>
      </c>
      <c r="L57" s="90">
        <f>ROUND(K57+L56,2)</f>
        <v/>
      </c>
      <c r="N57" s="34" t="n"/>
    </row>
    <row r="58" ht="24" customHeight="1">
      <c r="A58" s="66" t="n">
        <v>46285</v>
      </c>
      <c r="B58" s="91">
        <f>B57+1</f>
        <v/>
      </c>
      <c r="C58" s="89">
        <f>SUMIFS(Dados!$I$1:$I$1910,Dados!$B$1:$B$1910,C$7,Dados!$A$1:$A$1910,$A58)</f>
        <v/>
      </c>
      <c r="D58" s="89">
        <f>SUMIFS(Dados!$I$1:$I$1910,Dados!$B$1:$B$1910,D$7,Dados!$A$1:$A$1910,$A58)</f>
        <v/>
      </c>
      <c r="E58" s="89">
        <f>SUMIFS(Dados!$I$1:$I$1910,Dados!$B$1:$B$1910,E$7,Dados!$A$1:$A$1910,$A58)</f>
        <v/>
      </c>
      <c r="F58" s="89">
        <f>SUMIFS(Dados!$I$1:$I$1910,Dados!$B$1:$B$1910,F$7,Dados!$A$1:$A$1910,$A58)</f>
        <v/>
      </c>
      <c r="G58" s="89">
        <f>SUMIFS(Dados!$I$1:$I$1910,Dados!$B$1:$B$1910,G$7,Dados!$A$1:$A$1910,$A58)</f>
        <v/>
      </c>
      <c r="H58" s="89">
        <f>SUMIFS(Dados!$I$1:$I$1910,Dados!$B$1:$B$1910,H$7,Dados!$A$1:$A$1910,$A58)</f>
        <v/>
      </c>
      <c r="I58" s="89">
        <f>SUM(C58:H58)</f>
        <v/>
      </c>
      <c r="J58" s="89">
        <f>ROUND(I58*$L$4,2)</f>
        <v/>
      </c>
      <c r="K58" s="93">
        <f>SUM(I58:J58)</f>
        <v/>
      </c>
      <c r="L58" s="90">
        <f>ROUND(K58+L57,2)</f>
        <v/>
      </c>
      <c r="N58" s="34" t="n"/>
    </row>
    <row r="59" ht="24" customHeight="1">
      <c r="A59" s="66" t="n">
        <v>46300</v>
      </c>
      <c r="B59" s="91">
        <f>B58+1</f>
        <v/>
      </c>
      <c r="C59" s="89">
        <f>SUMIFS(Dados!$I$1:$I$1910,Dados!$B$1:$B$1910,C$7,Dados!$A$1:$A$1910,$A59)</f>
        <v/>
      </c>
      <c r="D59" s="89">
        <f>SUMIFS(Dados!$I$1:$I$1910,Dados!$B$1:$B$1910,D$7,Dados!$A$1:$A$1910,$A59)</f>
        <v/>
      </c>
      <c r="E59" s="89">
        <f>SUMIFS(Dados!$I$1:$I$1910,Dados!$B$1:$B$1910,E$7,Dados!$A$1:$A$1910,$A59)</f>
        <v/>
      </c>
      <c r="F59" s="89">
        <f>SUMIFS(Dados!$I$1:$I$1910,Dados!$B$1:$B$1910,F$7,Dados!$A$1:$A$1910,$A59)</f>
        <v/>
      </c>
      <c r="G59" s="89">
        <f>SUMIFS(Dados!$I$1:$I$1910,Dados!$B$1:$B$1910,G$7,Dados!$A$1:$A$1910,$A59)</f>
        <v/>
      </c>
      <c r="H59" s="89">
        <f>SUMIFS(Dados!$I$1:$I$1910,Dados!$B$1:$B$1910,H$7,Dados!$A$1:$A$1910,$A59)</f>
        <v/>
      </c>
      <c r="I59" s="89">
        <f>SUM(C59:H59)</f>
        <v/>
      </c>
      <c r="J59" s="89">
        <f>ROUND(I59*$L$4,2)</f>
        <v/>
      </c>
      <c r="K59" s="93">
        <f>SUM(I59:J59)</f>
        <v/>
      </c>
      <c r="L59" s="90">
        <f>ROUND(K59+L58,2)</f>
        <v/>
      </c>
      <c r="N59" s="34" t="n"/>
    </row>
    <row r="60" ht="24" customHeight="1">
      <c r="A60" s="66" t="n">
        <v>46315</v>
      </c>
      <c r="B60" s="91">
        <f>B59+1</f>
        <v/>
      </c>
      <c r="C60" s="89">
        <f>SUMIFS(Dados!$I$1:$I$1910,Dados!$B$1:$B$1910,C$7,Dados!$A$1:$A$1910,$A60)</f>
        <v/>
      </c>
      <c r="D60" s="89">
        <f>SUMIFS(Dados!$I$1:$I$1910,Dados!$B$1:$B$1910,D$7,Dados!$A$1:$A$1910,$A60)</f>
        <v/>
      </c>
      <c r="E60" s="89">
        <f>SUMIFS(Dados!$I$1:$I$1910,Dados!$B$1:$B$1910,E$7,Dados!$A$1:$A$1910,$A60)</f>
        <v/>
      </c>
      <c r="F60" s="89">
        <f>SUMIFS(Dados!$I$1:$I$1910,Dados!$B$1:$B$1910,F$7,Dados!$A$1:$A$1910,$A60)</f>
        <v/>
      </c>
      <c r="G60" s="89">
        <f>SUMIFS(Dados!$I$1:$I$1910,Dados!$B$1:$B$1910,G$7,Dados!$A$1:$A$1910,$A60)</f>
        <v/>
      </c>
      <c r="H60" s="89">
        <f>SUMIFS(Dados!$I$1:$I$1910,Dados!$B$1:$B$1910,H$7,Dados!$A$1:$A$1910,$A60)</f>
        <v/>
      </c>
      <c r="I60" s="89">
        <f>SUM(C60:H60)</f>
        <v/>
      </c>
      <c r="J60" s="89">
        <f>ROUND(I60*$L$4,2)</f>
        <v/>
      </c>
      <c r="K60" s="93">
        <f>SUM(I60:J60)</f>
        <v/>
      </c>
      <c r="L60" s="90">
        <f>ROUND(K60+L59,2)</f>
        <v/>
      </c>
      <c r="N60" s="34" t="n"/>
    </row>
    <row r="61" ht="24" customHeight="1">
      <c r="A61" s="66" t="n">
        <v>46331</v>
      </c>
      <c r="B61" s="91">
        <f>B60+1</f>
        <v/>
      </c>
      <c r="C61" s="89">
        <f>SUMIFS(Dados!$I$1:$I$1910,Dados!$B$1:$B$1910,C$7,Dados!$A$1:$A$1910,$A61)</f>
        <v/>
      </c>
      <c r="D61" s="89">
        <f>SUMIFS(Dados!$I$1:$I$1910,Dados!$B$1:$B$1910,D$7,Dados!$A$1:$A$1910,$A61)</f>
        <v/>
      </c>
      <c r="E61" s="89">
        <f>SUMIFS(Dados!$I$1:$I$1910,Dados!$B$1:$B$1910,E$7,Dados!$A$1:$A$1910,$A61)</f>
        <v/>
      </c>
      <c r="F61" s="89">
        <f>SUMIFS(Dados!$I$1:$I$1910,Dados!$B$1:$B$1910,F$7,Dados!$A$1:$A$1910,$A61)</f>
        <v/>
      </c>
      <c r="G61" s="89">
        <f>SUMIFS(Dados!$I$1:$I$1910,Dados!$B$1:$B$1910,G$7,Dados!$A$1:$A$1910,$A61)</f>
        <v/>
      </c>
      <c r="H61" s="89">
        <f>SUMIFS(Dados!$I$1:$I$1910,Dados!$B$1:$B$1910,H$7,Dados!$A$1:$A$1910,$A61)</f>
        <v/>
      </c>
      <c r="I61" s="89">
        <f>SUM(C61:H61)</f>
        <v/>
      </c>
      <c r="J61" s="89">
        <f>ROUND(I61*$L$4,2)</f>
        <v/>
      </c>
      <c r="K61" s="93">
        <f>SUM(I61:J61)</f>
        <v/>
      </c>
      <c r="L61" s="90">
        <f>ROUND(K61+L60,2)</f>
        <v/>
      </c>
      <c r="N61" s="34" t="n"/>
    </row>
    <row r="62" ht="24" customHeight="1">
      <c r="A62" s="66" t="n">
        <v>46346</v>
      </c>
      <c r="B62" s="91">
        <f>B61+1</f>
        <v/>
      </c>
      <c r="C62" s="89">
        <f>SUMIFS(Dados!$I$1:$I$1910,Dados!$B$1:$B$1910,C$7,Dados!$A$1:$A$1910,$A62)</f>
        <v/>
      </c>
      <c r="D62" s="89">
        <f>SUMIFS(Dados!$I$1:$I$1910,Dados!$B$1:$B$1910,D$7,Dados!$A$1:$A$1910,$A62)</f>
        <v/>
      </c>
      <c r="E62" s="89">
        <f>SUMIFS(Dados!$I$1:$I$1910,Dados!$B$1:$B$1910,E$7,Dados!$A$1:$A$1910,$A62)</f>
        <v/>
      </c>
      <c r="F62" s="89">
        <f>SUMIFS(Dados!$I$1:$I$1910,Dados!$B$1:$B$1910,F$7,Dados!$A$1:$A$1910,$A62)</f>
        <v/>
      </c>
      <c r="G62" s="89">
        <f>SUMIFS(Dados!$I$1:$I$1910,Dados!$B$1:$B$1910,G$7,Dados!$A$1:$A$1910,$A62)</f>
        <v/>
      </c>
      <c r="H62" s="89">
        <f>SUMIFS(Dados!$I$1:$I$1910,Dados!$B$1:$B$1910,H$7,Dados!$A$1:$A$1910,$A62)</f>
        <v/>
      </c>
      <c r="I62" s="89">
        <f>SUM(C62:H62)</f>
        <v/>
      </c>
      <c r="J62" s="89">
        <f>ROUND(I62*$L$4,2)</f>
        <v/>
      </c>
      <c r="K62" s="93">
        <f>SUM(I62:J62)</f>
        <v/>
      </c>
      <c r="L62" s="90">
        <f>ROUND(K62+L61,2)</f>
        <v/>
      </c>
      <c r="N62" s="34" t="n"/>
    </row>
    <row r="63" ht="24" customHeight="1">
      <c r="A63" s="66" t="n">
        <v>46361</v>
      </c>
      <c r="B63" s="91">
        <f>B62+1</f>
        <v/>
      </c>
      <c r="C63" s="89">
        <f>SUMIFS(Dados!$I$1:$I$1910,Dados!$B$1:$B$1910,C$7,Dados!$A$1:$A$1910,$A63)</f>
        <v/>
      </c>
      <c r="D63" s="89">
        <f>SUMIFS(Dados!$I$1:$I$1910,Dados!$B$1:$B$1910,D$7,Dados!$A$1:$A$1910,$A63)</f>
        <v/>
      </c>
      <c r="E63" s="89">
        <f>SUMIFS(Dados!$I$1:$I$1910,Dados!$B$1:$B$1910,E$7,Dados!$A$1:$A$1910,$A63)</f>
        <v/>
      </c>
      <c r="F63" s="89">
        <f>SUMIFS(Dados!$I$1:$I$1910,Dados!$B$1:$B$1910,F$7,Dados!$A$1:$A$1910,$A63)</f>
        <v/>
      </c>
      <c r="G63" s="89">
        <f>SUMIFS(Dados!$I$1:$I$1910,Dados!$B$1:$B$1910,G$7,Dados!$A$1:$A$1910,$A63)</f>
        <v/>
      </c>
      <c r="H63" s="89">
        <f>SUMIFS(Dados!$I$1:$I$1910,Dados!$B$1:$B$1910,H$7,Dados!$A$1:$A$1910,$A63)</f>
        <v/>
      </c>
      <c r="I63" s="89">
        <f>SUM(C63:H63)</f>
        <v/>
      </c>
      <c r="J63" s="89">
        <f>ROUND(I63*$L$4,2)</f>
        <v/>
      </c>
      <c r="K63" s="93">
        <f>SUM(I63:J63)</f>
        <v/>
      </c>
      <c r="L63" s="90">
        <f>ROUND(K63+L62,2)</f>
        <v/>
      </c>
      <c r="N63" s="34" t="n"/>
    </row>
    <row r="64" ht="24" customHeight="1">
      <c r="A64" s="66" t="n">
        <v>46376</v>
      </c>
      <c r="B64" s="91">
        <f>B63+1</f>
        <v/>
      </c>
      <c r="C64" s="89">
        <f>SUMIFS(Dados!$I$1:$I$1910,Dados!$B$1:$B$1910,C$7,Dados!$A$1:$A$1910,$A64)</f>
        <v/>
      </c>
      <c r="D64" s="89">
        <f>SUMIFS(Dados!$I$1:$I$1910,Dados!$B$1:$B$1910,D$7,Dados!$A$1:$A$1910,$A64)</f>
        <v/>
      </c>
      <c r="E64" s="89">
        <f>SUMIFS(Dados!$I$1:$I$1910,Dados!$B$1:$B$1910,E$7,Dados!$A$1:$A$1910,$A64)</f>
        <v/>
      </c>
      <c r="F64" s="89">
        <f>SUMIFS(Dados!$I$1:$I$1910,Dados!$B$1:$B$1910,F$7,Dados!$A$1:$A$1910,$A64)</f>
        <v/>
      </c>
      <c r="G64" s="89">
        <f>SUMIFS(Dados!$I$1:$I$1910,Dados!$B$1:$B$1910,G$7,Dados!$A$1:$A$1910,$A64)</f>
        <v/>
      </c>
      <c r="H64" s="89">
        <f>SUMIFS(Dados!$I$1:$I$1910,Dados!$B$1:$B$1910,H$7,Dados!$A$1:$A$1910,$A64)</f>
        <v/>
      </c>
      <c r="I64" s="89">
        <f>SUM(C64:H64)</f>
        <v/>
      </c>
      <c r="J64" s="89">
        <f>ROUND(I64*$L$4,2)</f>
        <v/>
      </c>
      <c r="K64" s="93">
        <f>SUM(I64:J64)</f>
        <v/>
      </c>
      <c r="L64" s="90">
        <f>ROUND(K64+L63,2)</f>
        <v/>
      </c>
      <c r="N64" s="34" t="n"/>
    </row>
    <row r="65" ht="24" customHeight="1">
      <c r="A65" s="66" t="n">
        <v>46392</v>
      </c>
      <c r="B65" s="91">
        <f>B64+1</f>
        <v/>
      </c>
      <c r="C65" s="89">
        <f>SUMIFS(Dados!$I$1:$I$1910,Dados!$B$1:$B$1910,C$7,Dados!$A$1:$A$1910,$A65)</f>
        <v/>
      </c>
      <c r="D65" s="89">
        <f>SUMIFS(Dados!$I$1:$I$1910,Dados!$B$1:$B$1910,D$7,Dados!$A$1:$A$1910,$A65)</f>
        <v/>
      </c>
      <c r="E65" s="89">
        <f>SUMIFS(Dados!$I$1:$I$1910,Dados!$B$1:$B$1910,E$7,Dados!$A$1:$A$1910,$A65)</f>
        <v/>
      </c>
      <c r="F65" s="89">
        <f>SUMIFS(Dados!$I$1:$I$1910,Dados!$B$1:$B$1910,F$7,Dados!$A$1:$A$1910,$A65)</f>
        <v/>
      </c>
      <c r="G65" s="89">
        <f>SUMIFS(Dados!$I$1:$I$1910,Dados!$B$1:$B$1910,G$7,Dados!$A$1:$A$1910,$A65)</f>
        <v/>
      </c>
      <c r="H65" s="89">
        <f>SUMIFS(Dados!$I$1:$I$1910,Dados!$B$1:$B$1910,H$7,Dados!$A$1:$A$1910,$A65)</f>
        <v/>
      </c>
      <c r="I65" s="89">
        <f>SUM(C65:H65)</f>
        <v/>
      </c>
      <c r="J65" s="89">
        <f>ROUND(I65*$L$4,2)</f>
        <v/>
      </c>
      <c r="K65" s="93">
        <f>SUM(I65:J65)</f>
        <v/>
      </c>
      <c r="L65" s="90">
        <f>ROUND(K65+L64,2)</f>
        <v/>
      </c>
      <c r="N65" s="34" t="n"/>
    </row>
    <row r="66" ht="24" customHeight="1">
      <c r="A66" s="66" t="n">
        <v>46407</v>
      </c>
      <c r="B66" s="91">
        <f>B65+1</f>
        <v/>
      </c>
      <c r="C66" s="89">
        <f>SUMIFS(Dados!$I$1:$I$1910,Dados!$B$1:$B$1910,C$7,Dados!$A$1:$A$1910,$A66)</f>
        <v/>
      </c>
      <c r="D66" s="89">
        <f>SUMIFS(Dados!$I$1:$I$1910,Dados!$B$1:$B$1910,D$7,Dados!$A$1:$A$1910,$A66)</f>
        <v/>
      </c>
      <c r="E66" s="89">
        <f>SUMIFS(Dados!$I$1:$I$1910,Dados!$B$1:$B$1910,E$7,Dados!$A$1:$A$1910,$A66)</f>
        <v/>
      </c>
      <c r="F66" s="89">
        <f>SUMIFS(Dados!$I$1:$I$1910,Dados!$B$1:$B$1910,F$7,Dados!$A$1:$A$1910,$A66)</f>
        <v/>
      </c>
      <c r="G66" s="89">
        <f>SUMIFS(Dados!$I$1:$I$1910,Dados!$B$1:$B$1910,G$7,Dados!$A$1:$A$1910,$A66)</f>
        <v/>
      </c>
      <c r="H66" s="89">
        <f>SUMIFS(Dados!$I$1:$I$1910,Dados!$B$1:$B$1910,H$7,Dados!$A$1:$A$1910,$A66)</f>
        <v/>
      </c>
      <c r="I66" s="89">
        <f>SUM(C66:H66)</f>
        <v/>
      </c>
      <c r="J66" s="89">
        <f>ROUND(I66*$L$4,2)</f>
        <v/>
      </c>
      <c r="K66" s="93">
        <f>SUM(I66:J66)</f>
        <v/>
      </c>
      <c r="L66" s="90">
        <f>ROUND(K66+L65,2)</f>
        <v/>
      </c>
      <c r="N66" s="34" t="n"/>
    </row>
    <row r="67" ht="24" customHeight="1">
      <c r="A67" s="66" t="n">
        <v>46423</v>
      </c>
      <c r="B67" s="91">
        <f>B66+1</f>
        <v/>
      </c>
      <c r="C67" s="89">
        <f>SUMIFS(Dados!$I$1:$I$1910,Dados!$B$1:$B$1910,C$7,Dados!$A$1:$A$1910,$A67)</f>
        <v/>
      </c>
      <c r="D67" s="89">
        <f>SUMIFS(Dados!$I$1:$I$1910,Dados!$B$1:$B$1910,D$7,Dados!$A$1:$A$1910,$A67)</f>
        <v/>
      </c>
      <c r="E67" s="89">
        <f>SUMIFS(Dados!$I$1:$I$1910,Dados!$B$1:$B$1910,E$7,Dados!$A$1:$A$1910,$A67)</f>
        <v/>
      </c>
      <c r="F67" s="89">
        <f>SUMIFS(Dados!$I$1:$I$1910,Dados!$B$1:$B$1910,F$7,Dados!$A$1:$A$1910,$A67)</f>
        <v/>
      </c>
      <c r="G67" s="89">
        <f>SUMIFS(Dados!$I$1:$I$1910,Dados!$B$1:$B$1910,G$7,Dados!$A$1:$A$1910,$A67)</f>
        <v/>
      </c>
      <c r="H67" s="89">
        <f>SUMIFS(Dados!$I$1:$I$1910,Dados!$B$1:$B$1910,H$7,Dados!$A$1:$A$1910,$A67)</f>
        <v/>
      </c>
      <c r="I67" s="89">
        <f>SUM(C67:H67)</f>
        <v/>
      </c>
      <c r="J67" s="89">
        <f>ROUND(I67*$L$4,2)</f>
        <v/>
      </c>
      <c r="K67" s="93">
        <f>SUM(I67:J67)</f>
        <v/>
      </c>
      <c r="L67" s="90">
        <f>ROUND(K67+L66,2)</f>
        <v/>
      </c>
      <c r="N67" s="34" t="n"/>
    </row>
    <row r="68" ht="24" customHeight="1">
      <c r="A68" s="66" t="n">
        <v>46438</v>
      </c>
      <c r="B68" s="91">
        <f>B67+1</f>
        <v/>
      </c>
      <c r="C68" s="89">
        <f>SUMIFS(Dados!$I$1:$I$1910,Dados!$B$1:$B$1910,C$7,Dados!$A$1:$A$1910,$A68)</f>
        <v/>
      </c>
      <c r="D68" s="89">
        <f>SUMIFS(Dados!$I$1:$I$1910,Dados!$B$1:$B$1910,D$7,Dados!$A$1:$A$1910,$A68)</f>
        <v/>
      </c>
      <c r="E68" s="89">
        <f>SUMIFS(Dados!$I$1:$I$1910,Dados!$B$1:$B$1910,E$7,Dados!$A$1:$A$1910,$A68)</f>
        <v/>
      </c>
      <c r="F68" s="89">
        <f>SUMIFS(Dados!$I$1:$I$1910,Dados!$B$1:$B$1910,F$7,Dados!$A$1:$A$1910,$A68)</f>
        <v/>
      </c>
      <c r="G68" s="89">
        <f>SUMIFS(Dados!$I$1:$I$1910,Dados!$B$1:$B$1910,G$7,Dados!$A$1:$A$1910,$A68)</f>
        <v/>
      </c>
      <c r="H68" s="89">
        <f>SUMIFS(Dados!$I$1:$I$1910,Dados!$B$1:$B$1910,H$7,Dados!$A$1:$A$1910,$A68)</f>
        <v/>
      </c>
      <c r="I68" s="89">
        <f>SUM(C68:H68)</f>
        <v/>
      </c>
      <c r="J68" s="89">
        <f>ROUND(I68*$L$4,2)</f>
        <v/>
      </c>
      <c r="K68" s="93">
        <f>SUM(I68:J68)</f>
        <v/>
      </c>
      <c r="L68" s="90">
        <f>ROUND(K68+L67,2)</f>
        <v/>
      </c>
      <c r="N68" s="34" t="n"/>
    </row>
    <row r="69" ht="24" customHeight="1">
      <c r="A69" s="66" t="n">
        <v>46451</v>
      </c>
      <c r="B69" s="91">
        <f>B68+1</f>
        <v/>
      </c>
      <c r="C69" s="89">
        <f>SUMIFS(Dados!$I$1:$I$1910,Dados!$B$1:$B$1910,C$7,Dados!$A$1:$A$1910,$A69)</f>
        <v/>
      </c>
      <c r="D69" s="89">
        <f>SUMIFS(Dados!$I$1:$I$1910,Dados!$B$1:$B$1910,D$7,Dados!$A$1:$A$1910,$A69)</f>
        <v/>
      </c>
      <c r="E69" s="89">
        <f>SUMIFS(Dados!$I$1:$I$1910,Dados!$B$1:$B$1910,E$7,Dados!$A$1:$A$1910,$A69)</f>
        <v/>
      </c>
      <c r="F69" s="89">
        <f>SUMIFS(Dados!$I$1:$I$1910,Dados!$B$1:$B$1910,F$7,Dados!$A$1:$A$1910,$A69)</f>
        <v/>
      </c>
      <c r="G69" s="89">
        <f>SUMIFS(Dados!$I$1:$I$1910,Dados!$B$1:$B$1910,G$7,Dados!$A$1:$A$1910,$A69)</f>
        <v/>
      </c>
      <c r="H69" s="89">
        <f>SUMIFS(Dados!$I$1:$I$1910,Dados!$B$1:$B$1910,H$7,Dados!$A$1:$A$1910,$A69)</f>
        <v/>
      </c>
      <c r="I69" s="89">
        <f>SUM(C69:H69)</f>
        <v/>
      </c>
      <c r="J69" s="89">
        <f>ROUND(I69*$L$4,2)</f>
        <v/>
      </c>
      <c r="K69" s="93">
        <f>SUM(I69:J69)</f>
        <v/>
      </c>
      <c r="L69" s="90">
        <f>ROUND(K69+L68,2)</f>
        <v/>
      </c>
      <c r="N69" s="34" t="n"/>
    </row>
    <row r="70" ht="24" customHeight="1">
      <c r="A70" s="66" t="n">
        <v>46466</v>
      </c>
      <c r="B70" s="91">
        <f>B69+1</f>
        <v/>
      </c>
      <c r="C70" s="89">
        <f>SUMIFS(Dados!$I$1:$I$1910,Dados!$B$1:$B$1910,C$7,Dados!$A$1:$A$1910,$A70)</f>
        <v/>
      </c>
      <c r="D70" s="89">
        <f>SUMIFS(Dados!$I$1:$I$1910,Dados!$B$1:$B$1910,D$7,Dados!$A$1:$A$1910,$A70)</f>
        <v/>
      </c>
      <c r="E70" s="89">
        <f>SUMIFS(Dados!$I$1:$I$1910,Dados!$B$1:$B$1910,E$7,Dados!$A$1:$A$1910,$A70)</f>
        <v/>
      </c>
      <c r="F70" s="89">
        <f>SUMIFS(Dados!$I$1:$I$1910,Dados!$B$1:$B$1910,F$7,Dados!$A$1:$A$1910,$A70)</f>
        <v/>
      </c>
      <c r="G70" s="89">
        <f>SUMIFS(Dados!$I$1:$I$1910,Dados!$B$1:$B$1910,G$7,Dados!$A$1:$A$1910,$A70)</f>
        <v/>
      </c>
      <c r="H70" s="89">
        <f>SUMIFS(Dados!$I$1:$I$1910,Dados!$B$1:$B$1910,H$7,Dados!$A$1:$A$1910,$A70)</f>
        <v/>
      </c>
      <c r="I70" s="89">
        <f>SUM(C70:H70)</f>
        <v/>
      </c>
      <c r="J70" s="89">
        <f>ROUND(I70*$L$4,2)</f>
        <v/>
      </c>
      <c r="K70" s="93">
        <f>SUM(I70:J70)</f>
        <v/>
      </c>
      <c r="L70" s="90">
        <f>ROUND(K70+L69,2)</f>
        <v/>
      </c>
      <c r="N70" s="34" t="n"/>
    </row>
    <row r="71" ht="24" customHeight="1">
      <c r="A71" s="66" t="n">
        <v>46482</v>
      </c>
      <c r="B71" s="91">
        <f>B70+1</f>
        <v/>
      </c>
      <c r="C71" s="89">
        <f>SUMIFS(Dados!$I$1:$I$1910,Dados!$B$1:$B$1910,C$7,Dados!$A$1:$A$1910,$A71)</f>
        <v/>
      </c>
      <c r="D71" s="89">
        <f>SUMIFS(Dados!$I$1:$I$1910,Dados!$B$1:$B$1910,D$7,Dados!$A$1:$A$1910,$A71)</f>
        <v/>
      </c>
      <c r="E71" s="89">
        <f>SUMIFS(Dados!$I$1:$I$1910,Dados!$B$1:$B$1910,E$7,Dados!$A$1:$A$1910,$A71)</f>
        <v/>
      </c>
      <c r="F71" s="89">
        <f>SUMIFS(Dados!$I$1:$I$1910,Dados!$B$1:$B$1910,F$7,Dados!$A$1:$A$1910,$A71)</f>
        <v/>
      </c>
      <c r="G71" s="89">
        <f>SUMIFS(Dados!$I$1:$I$1910,Dados!$B$1:$B$1910,G$7,Dados!$A$1:$A$1910,$A71)</f>
        <v/>
      </c>
      <c r="H71" s="89">
        <f>SUMIFS(Dados!$I$1:$I$1910,Dados!$B$1:$B$1910,H$7,Dados!$A$1:$A$1910,$A71)</f>
        <v/>
      </c>
      <c r="I71" s="89">
        <f>SUM(C71:H71)</f>
        <v/>
      </c>
      <c r="J71" s="89">
        <f>ROUND(I71*$L$4,2)</f>
        <v/>
      </c>
      <c r="K71" s="93">
        <f>SUM(I71:J71)</f>
        <v/>
      </c>
      <c r="L71" s="90">
        <f>ROUND(K71+L70,2)</f>
        <v/>
      </c>
      <c r="N71" s="34" t="n"/>
    </row>
    <row r="72" ht="24" customHeight="1">
      <c r="A72" s="66" t="n">
        <v>46497</v>
      </c>
      <c r="B72" s="91">
        <f>B71+1</f>
        <v/>
      </c>
      <c r="C72" s="89">
        <f>SUMIFS(Dados!$I$1:$I$1910,Dados!$B$1:$B$1910,C$7,Dados!$A$1:$A$1910,$A72)</f>
        <v/>
      </c>
      <c r="D72" s="89">
        <f>SUMIFS(Dados!$I$1:$I$1910,Dados!$B$1:$B$1910,D$7,Dados!$A$1:$A$1910,$A72)</f>
        <v/>
      </c>
      <c r="E72" s="89">
        <f>SUMIFS(Dados!$I$1:$I$1910,Dados!$B$1:$B$1910,E$7,Dados!$A$1:$A$1910,$A72)</f>
        <v/>
      </c>
      <c r="F72" s="89">
        <f>SUMIFS(Dados!$I$1:$I$1910,Dados!$B$1:$B$1910,F$7,Dados!$A$1:$A$1910,$A72)</f>
        <v/>
      </c>
      <c r="G72" s="89">
        <f>SUMIFS(Dados!$I$1:$I$1910,Dados!$B$1:$B$1910,G$7,Dados!$A$1:$A$1910,$A72)</f>
        <v/>
      </c>
      <c r="H72" s="89">
        <f>SUMIFS(Dados!$I$1:$I$1910,Dados!$B$1:$B$1910,H$7,Dados!$A$1:$A$1910,$A72)</f>
        <v/>
      </c>
      <c r="I72" s="89">
        <f>SUM(C72:H72)</f>
        <v/>
      </c>
      <c r="J72" s="89">
        <f>ROUND(I72*$L$4,2)</f>
        <v/>
      </c>
      <c r="K72" s="93">
        <f>SUM(I72:J72)</f>
        <v/>
      </c>
      <c r="L72" s="90">
        <f>ROUND(K72+L71,2)</f>
        <v/>
      </c>
      <c r="N72" s="34" t="n"/>
    </row>
    <row r="73" ht="24" customHeight="1">
      <c r="A73" s="66" t="n">
        <v>46512</v>
      </c>
      <c r="B73" s="91">
        <f>B72+1</f>
        <v/>
      </c>
      <c r="C73" s="89">
        <f>SUMIFS(Dados!$I$1:$I$1910,Dados!$B$1:$B$1910,C$7,Dados!$A$1:$A$1910,$A73)</f>
        <v/>
      </c>
      <c r="D73" s="89">
        <f>SUMIFS(Dados!$I$1:$I$1910,Dados!$B$1:$B$1910,D$7,Dados!$A$1:$A$1910,$A73)</f>
        <v/>
      </c>
      <c r="E73" s="89">
        <f>SUMIFS(Dados!$I$1:$I$1910,Dados!$B$1:$B$1910,E$7,Dados!$A$1:$A$1910,$A73)</f>
        <v/>
      </c>
      <c r="F73" s="89">
        <f>SUMIFS(Dados!$I$1:$I$1910,Dados!$B$1:$B$1910,F$7,Dados!$A$1:$A$1910,$A73)</f>
        <v/>
      </c>
      <c r="G73" s="89">
        <f>SUMIFS(Dados!$I$1:$I$1910,Dados!$B$1:$B$1910,G$7,Dados!$A$1:$A$1910,$A73)</f>
        <v/>
      </c>
      <c r="H73" s="89">
        <f>SUMIFS(Dados!$I$1:$I$1910,Dados!$B$1:$B$1910,H$7,Dados!$A$1:$A$1910,$A73)</f>
        <v/>
      </c>
      <c r="I73" s="89">
        <f>SUM(C73:H73)</f>
        <v/>
      </c>
      <c r="J73" s="89">
        <f>ROUND(I73*$L$4,2)</f>
        <v/>
      </c>
      <c r="K73" s="93">
        <f>SUM(I73:J73)</f>
        <v/>
      </c>
      <c r="L73" s="90">
        <f>ROUND(K73+L72,2)</f>
        <v/>
      </c>
      <c r="N73" s="34" t="n"/>
    </row>
    <row r="74" ht="24" customHeight="1">
      <c r="A74" s="66" t="n">
        <v>46527</v>
      </c>
      <c r="B74" s="91">
        <f>B73+1</f>
        <v/>
      </c>
      <c r="C74" s="89">
        <f>SUMIFS(Dados!$I$1:$I$1910,Dados!$B$1:$B$1910,C$7,Dados!$A$1:$A$1910,$A74)</f>
        <v/>
      </c>
      <c r="D74" s="89">
        <f>SUMIFS(Dados!$I$1:$I$1910,Dados!$B$1:$B$1910,D$7,Dados!$A$1:$A$1910,$A74)</f>
        <v/>
      </c>
      <c r="E74" s="89">
        <f>SUMIFS(Dados!$I$1:$I$1910,Dados!$B$1:$B$1910,E$7,Dados!$A$1:$A$1910,$A74)</f>
        <v/>
      </c>
      <c r="F74" s="89">
        <f>SUMIFS(Dados!$I$1:$I$1910,Dados!$B$1:$B$1910,F$7,Dados!$A$1:$A$1910,$A74)</f>
        <v/>
      </c>
      <c r="G74" s="89">
        <f>SUMIFS(Dados!$I$1:$I$1910,Dados!$B$1:$B$1910,G$7,Dados!$A$1:$A$1910,$A74)</f>
        <v/>
      </c>
      <c r="H74" s="89">
        <f>SUMIFS(Dados!$I$1:$I$1910,Dados!$B$1:$B$1910,H$7,Dados!$A$1:$A$1910,$A74)</f>
        <v/>
      </c>
      <c r="I74" s="89">
        <f>SUM(C74:H74)</f>
        <v/>
      </c>
      <c r="J74" s="89">
        <f>ROUND(I74*$L$4,2)</f>
        <v/>
      </c>
      <c r="K74" s="93">
        <f>SUM(I74:J74)</f>
        <v/>
      </c>
      <c r="L74" s="90">
        <f>ROUND(K74+L73,2)</f>
        <v/>
      </c>
      <c r="N74" s="34" t="n"/>
    </row>
    <row r="75" ht="24" customHeight="1">
      <c r="A75" s="66" t="n">
        <v>46543</v>
      </c>
      <c r="B75" s="91">
        <f>B74+1</f>
        <v/>
      </c>
      <c r="C75" s="89">
        <f>SUMIFS(Dados!$I$1:$I$1910,Dados!$B$1:$B$1910,C$7,Dados!$A$1:$A$1910,$A75)</f>
        <v/>
      </c>
      <c r="D75" s="89">
        <f>SUMIFS(Dados!$I$1:$I$1910,Dados!$B$1:$B$1910,D$7,Dados!$A$1:$A$1910,$A75)</f>
        <v/>
      </c>
      <c r="E75" s="89">
        <f>SUMIFS(Dados!$I$1:$I$1910,Dados!$B$1:$B$1910,E$7,Dados!$A$1:$A$1910,$A75)</f>
        <v/>
      </c>
      <c r="F75" s="89">
        <f>SUMIFS(Dados!$I$1:$I$1910,Dados!$B$1:$B$1910,F$7,Dados!$A$1:$A$1910,$A75)</f>
        <v/>
      </c>
      <c r="G75" s="89">
        <f>SUMIFS(Dados!$I$1:$I$1910,Dados!$B$1:$B$1910,G$7,Dados!$A$1:$A$1910,$A75)</f>
        <v/>
      </c>
      <c r="H75" s="89">
        <f>SUMIFS(Dados!$I$1:$I$1910,Dados!$B$1:$B$1910,H$7,Dados!$A$1:$A$1910,$A75)</f>
        <v/>
      </c>
      <c r="I75" s="89">
        <f>SUM(C75:H75)</f>
        <v/>
      </c>
      <c r="J75" s="89">
        <f>ROUND(I75*$L$4,2)</f>
        <v/>
      </c>
      <c r="K75" s="93">
        <f>SUM(I75:J75)</f>
        <v/>
      </c>
      <c r="L75" s="90">
        <f>ROUND(K75+L74,2)</f>
        <v/>
      </c>
      <c r="N75" s="34" t="n"/>
    </row>
    <row r="76" ht="24" customHeight="1">
      <c r="A76" s="66" t="n">
        <v>46558</v>
      </c>
      <c r="B76" s="91">
        <f>B75+1</f>
        <v/>
      </c>
      <c r="C76" s="89">
        <f>SUMIFS(Dados!$I$1:$I$1910,Dados!$B$1:$B$1910,C$7,Dados!$A$1:$A$1910,$A76)</f>
        <v/>
      </c>
      <c r="D76" s="89">
        <f>SUMIFS(Dados!$I$1:$I$1910,Dados!$B$1:$B$1910,D$7,Dados!$A$1:$A$1910,$A76)</f>
        <v/>
      </c>
      <c r="E76" s="89">
        <f>SUMIFS(Dados!$I$1:$I$1910,Dados!$B$1:$B$1910,E$7,Dados!$A$1:$A$1910,$A76)</f>
        <v/>
      </c>
      <c r="F76" s="89">
        <f>SUMIFS(Dados!$I$1:$I$1910,Dados!$B$1:$B$1910,F$7,Dados!$A$1:$A$1910,$A76)</f>
        <v/>
      </c>
      <c r="G76" s="89">
        <f>SUMIFS(Dados!$I$1:$I$1910,Dados!$B$1:$B$1910,G$7,Dados!$A$1:$A$1910,$A76)</f>
        <v/>
      </c>
      <c r="H76" s="89">
        <f>SUMIFS(Dados!$I$1:$I$1910,Dados!$B$1:$B$1910,H$7,Dados!$A$1:$A$1910,$A76)</f>
        <v/>
      </c>
      <c r="I76" s="89">
        <f>SUM(C76:H76)</f>
        <v/>
      </c>
      <c r="J76" s="89">
        <f>ROUND(I76*$L$4,2)</f>
        <v/>
      </c>
      <c r="K76" s="93">
        <f>SUM(I76:J76)</f>
        <v/>
      </c>
      <c r="L76" s="90">
        <f>ROUND(K76+L75,2)</f>
        <v/>
      </c>
      <c r="N76" s="34" t="n"/>
    </row>
    <row r="77" ht="24" customHeight="1">
      <c r="A77" s="66" t="n">
        <v>46573</v>
      </c>
      <c r="B77" s="91">
        <f>B76+1</f>
        <v/>
      </c>
      <c r="C77" s="89">
        <f>SUMIFS(Dados!$I$1:$I$1910,Dados!$B$1:$B$1910,C$7,Dados!$A$1:$A$1910,$A77)</f>
        <v/>
      </c>
      <c r="D77" s="89">
        <f>SUMIFS(Dados!$I$1:$I$1910,Dados!$B$1:$B$1910,D$7,Dados!$A$1:$A$1910,$A77)</f>
        <v/>
      </c>
      <c r="E77" s="89">
        <f>SUMIFS(Dados!$I$1:$I$1910,Dados!$B$1:$B$1910,E$7,Dados!$A$1:$A$1910,$A77)</f>
        <v/>
      </c>
      <c r="F77" s="89">
        <f>SUMIFS(Dados!$I$1:$I$1910,Dados!$B$1:$B$1910,F$7,Dados!$A$1:$A$1910,$A77)</f>
        <v/>
      </c>
      <c r="G77" s="89">
        <f>SUMIFS(Dados!$I$1:$I$1910,Dados!$B$1:$B$1910,G$7,Dados!$A$1:$A$1910,$A77)</f>
        <v/>
      </c>
      <c r="H77" s="89">
        <f>SUMIFS(Dados!$I$1:$I$1910,Dados!$B$1:$B$1910,H$7,Dados!$A$1:$A$1910,$A77)</f>
        <v/>
      </c>
      <c r="I77" s="89">
        <f>SUM(C77:H77)</f>
        <v/>
      </c>
      <c r="J77" s="89">
        <f>ROUND(I77*$L$4,2)</f>
        <v/>
      </c>
      <c r="K77" s="93">
        <f>SUM(I77:J77)</f>
        <v/>
      </c>
      <c r="L77" s="90">
        <f>ROUND(K77+L76,2)</f>
        <v/>
      </c>
      <c r="N77" s="34" t="n"/>
    </row>
    <row r="78" ht="24" customHeight="1">
      <c r="A78" s="66" t="n">
        <v>46588</v>
      </c>
      <c r="B78" s="91">
        <f>B77+1</f>
        <v/>
      </c>
      <c r="C78" s="89">
        <f>SUMIFS(Dados!$I$1:$I$1910,Dados!$B$1:$B$1910,C$7,Dados!$A$1:$A$1910,$A78)</f>
        <v/>
      </c>
      <c r="D78" s="89">
        <f>SUMIFS(Dados!$I$1:$I$1910,Dados!$B$1:$B$1910,D$7,Dados!$A$1:$A$1910,$A78)</f>
        <v/>
      </c>
      <c r="E78" s="89">
        <f>SUMIFS(Dados!$I$1:$I$1910,Dados!$B$1:$B$1910,E$7,Dados!$A$1:$A$1910,$A78)</f>
        <v/>
      </c>
      <c r="F78" s="89">
        <f>SUMIFS(Dados!$I$1:$I$1910,Dados!$B$1:$B$1910,F$7,Dados!$A$1:$A$1910,$A78)</f>
        <v/>
      </c>
      <c r="G78" s="89">
        <f>SUMIFS(Dados!$I$1:$I$1910,Dados!$B$1:$B$1910,G$7,Dados!$A$1:$A$1910,$A78)</f>
        <v/>
      </c>
      <c r="H78" s="89">
        <f>SUMIFS(Dados!$I$1:$I$1910,Dados!$B$1:$B$1910,H$7,Dados!$A$1:$A$1910,$A78)</f>
        <v/>
      </c>
      <c r="I78" s="89">
        <f>SUM(C78:H78)</f>
        <v/>
      </c>
      <c r="J78" s="89">
        <f>ROUND(I78*$L$4,2)</f>
        <v/>
      </c>
      <c r="K78" s="93">
        <f>SUM(I78:J78)</f>
        <v/>
      </c>
      <c r="L78" s="90">
        <f>ROUND(K78+L77,2)</f>
        <v/>
      </c>
      <c r="N78" s="34" t="n"/>
    </row>
    <row r="79" ht="24" customHeight="1">
      <c r="A79" s="66" t="n">
        <v>46604</v>
      </c>
      <c r="B79" s="91">
        <f>B78+1</f>
        <v/>
      </c>
      <c r="C79" s="89">
        <f>SUMIFS(Dados!$I$1:$I$1910,Dados!$B$1:$B$1910,C$7,Dados!$A$1:$A$1910,$A79)</f>
        <v/>
      </c>
      <c r="D79" s="89">
        <f>SUMIFS(Dados!$I$1:$I$1910,Dados!$B$1:$B$1910,D$7,Dados!$A$1:$A$1910,$A79)</f>
        <v/>
      </c>
      <c r="E79" s="89">
        <f>SUMIFS(Dados!$I$1:$I$1910,Dados!$B$1:$B$1910,E$7,Dados!$A$1:$A$1910,$A79)</f>
        <v/>
      </c>
      <c r="F79" s="89">
        <f>SUMIFS(Dados!$I$1:$I$1910,Dados!$B$1:$B$1910,F$7,Dados!$A$1:$A$1910,$A79)</f>
        <v/>
      </c>
      <c r="G79" s="89">
        <f>SUMIFS(Dados!$I$1:$I$1910,Dados!$B$1:$B$1910,G$7,Dados!$A$1:$A$1910,$A79)</f>
        <v/>
      </c>
      <c r="H79" s="89">
        <f>SUMIFS(Dados!$I$1:$I$1910,Dados!$B$1:$B$1910,H$7,Dados!$A$1:$A$1910,$A79)</f>
        <v/>
      </c>
      <c r="I79" s="89">
        <f>SUM(C79:H79)</f>
        <v/>
      </c>
      <c r="J79" s="89">
        <f>ROUND(I79*$L$4,2)</f>
        <v/>
      </c>
      <c r="K79" s="93">
        <f>SUM(I79:J79)</f>
        <v/>
      </c>
      <c r="L79" s="90">
        <f>ROUND(K79+L78,2)</f>
        <v/>
      </c>
      <c r="N79" s="34" t="n"/>
    </row>
    <row r="80" ht="24" customHeight="1" thickBot="1">
      <c r="A80" s="66" t="n">
        <v>46619</v>
      </c>
      <c r="B80" s="91">
        <f>B79+1</f>
        <v/>
      </c>
      <c r="C80" s="89">
        <f>SUMIFS(Dados!$I$1:$I$1910,Dados!$B$1:$B$1910,C$7,Dados!$A$1:$A$1910,$A80)</f>
        <v/>
      </c>
      <c r="D80" s="89">
        <f>SUMIFS(Dados!$I$1:$I$1910,Dados!$B$1:$B$1910,D$7,Dados!$A$1:$A$1910,$A80)</f>
        <v/>
      </c>
      <c r="E80" s="89">
        <f>SUMIFS(Dados!$I$1:$I$1910,Dados!$B$1:$B$1910,E$7,Dados!$A$1:$A$1910,$A80)</f>
        <v/>
      </c>
      <c r="F80" s="89">
        <f>SUMIFS(Dados!$I$1:$I$1910,Dados!$B$1:$B$1910,F$7,Dados!$A$1:$A$1910,$A80)</f>
        <v/>
      </c>
      <c r="G80" s="89">
        <f>SUMIFS(Dados!$I$1:$I$1910,Dados!$B$1:$B$1910,G$7,Dados!$A$1:$A$1910,$A80)</f>
        <v/>
      </c>
      <c r="H80" s="89">
        <f>SUMIFS(Dados!$I$1:$I$1910,Dados!$B$1:$B$1910,H$7,Dados!$A$1:$A$1910,$A80)</f>
        <v/>
      </c>
      <c r="I80" s="89">
        <f>SUM(C80:H80)</f>
        <v/>
      </c>
      <c r="J80" s="89">
        <f>ROUND(I80*$L$4,2)</f>
        <v/>
      </c>
      <c r="K80" s="93">
        <f>SUM(I80:J80)</f>
        <v/>
      </c>
      <c r="L80" s="90">
        <f>ROUND(K80+L79,2)</f>
        <v/>
      </c>
      <c r="N80" s="34" t="n"/>
    </row>
    <row r="81" ht="36" customHeight="1" thickBot="1" thickTop="1">
      <c r="A81" s="94" t="inlineStr">
        <is>
          <t>TOTAL</t>
        </is>
      </c>
      <c r="B81" s="94" t="n"/>
      <c r="C81" s="95">
        <f>SUM(C9:C80)</f>
        <v/>
      </c>
      <c r="D81" s="95">
        <f>SUM(D9:D80)</f>
        <v/>
      </c>
      <c r="E81" s="95">
        <f>SUM(E9:E80)</f>
        <v/>
      </c>
      <c r="F81" s="95">
        <f>SUM(F9:F80)</f>
        <v/>
      </c>
      <c r="G81" s="95">
        <f>SUM(G9:G80)</f>
        <v/>
      </c>
      <c r="H81" s="95">
        <f>SUM(H9:H80)</f>
        <v/>
      </c>
      <c r="I81" s="95">
        <f>SUM(I9:I80)</f>
        <v/>
      </c>
      <c r="J81" s="95">
        <f>SUM(J9:J80)</f>
        <v/>
      </c>
      <c r="K81" s="95">
        <f>SUM(K9:K80)</f>
        <v/>
      </c>
      <c r="L81" s="15" t="n"/>
    </row>
    <row r="82" hidden="1" ht="50.1" customHeight="1">
      <c r="A82" s="96" t="n"/>
      <c r="B82" s="96" t="n"/>
    </row>
    <row r="83" hidden="1" ht="50.1" customHeight="1">
      <c r="A83" s="96" t="n"/>
      <c r="B83" s="96" t="n"/>
    </row>
  </sheetData>
  <mergeCells count="2">
    <mergeCell ref="G1:L1"/>
    <mergeCell ref="P1:T1"/>
  </mergeCells>
  <printOptions horizontalCentered="1"/>
  <pageMargins left="0" right="0" top="0.5905511811023623" bottom="0.1968503937007874" header="0.3149606299212598" footer="0.3149606299212598"/>
  <pageSetup orientation="portrait" paperSize="9" scale="65" fitToHeight="6"/>
  <colBreaks count="1" manualBreakCount="1">
    <brk id="12" min="0" max="1048575" man="1"/>
  </col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Planilha2">
    <outlinePr summaryBelow="1" summaryRight="1"/>
    <pageSetUpPr/>
  </sheetPr>
  <dimension ref="A1:R50"/>
  <sheetViews>
    <sheetView showGridLines="0" topLeftCell="A6" zoomScale="80" zoomScaleNormal="80" workbookViewId="0">
      <selection activeCell="F20" sqref="F20"/>
    </sheetView>
  </sheetViews>
  <sheetFormatPr baseColWidth="8" defaultColWidth="8.875" defaultRowHeight="15.75"/>
  <cols>
    <col width="13.875" customWidth="1" style="71" min="1" max="1"/>
    <col width="4.875" customWidth="1" style="71" min="2" max="2"/>
    <col width="15.875" customWidth="1" style="71" min="3" max="9"/>
    <col width="16.875" customWidth="1" style="71" min="10" max="10"/>
    <col width="8.875" customWidth="1" style="71" min="11" max="92"/>
    <col width="8.875" customWidth="1" style="71" min="93" max="16384"/>
  </cols>
  <sheetData>
    <row r="1" ht="69.95" customHeight="1">
      <c r="D1" s="87" t="n"/>
      <c r="E1" s="87" t="n"/>
      <c r="G1" s="70" t="inlineStr">
        <is>
          <t>Rua  Zodiaco, 87  Sala 07 – Santa  Lúcia - Belo Horizonte - MG
(31) 3654-6616 / (31) 99974-1241 /  (31) 98711-1139
rvr.engenharia@gmail.com / vinicius.rinaldi26@gmail.com</t>
        </is>
      </c>
      <c r="L1" s="87" t="n"/>
      <c r="M1" s="87" t="n"/>
      <c r="N1" s="70" t="n"/>
    </row>
    <row r="2" ht="35.1" customHeight="1">
      <c r="D2" s="87" t="n"/>
      <c r="E2" s="87" t="n"/>
      <c r="L2" s="87" t="n"/>
      <c r="M2" s="87" t="n"/>
      <c r="O2" s="87" t="n"/>
    </row>
    <row r="3" ht="35.1" customHeight="1">
      <c r="A3" s="32">
        <f>RESUMO!A3</f>
        <v/>
      </c>
      <c r="B3" s="5" t="n"/>
      <c r="D3" s="87" t="n"/>
      <c r="E3" s="87" t="n"/>
      <c r="K3" s="5" t="n"/>
      <c r="L3" s="87" t="n"/>
      <c r="M3" s="87" t="n"/>
      <c r="O3" s="87" t="n"/>
    </row>
    <row r="4" ht="18.95" customHeight="1">
      <c r="A4" s="33">
        <f>RESUMO!A4</f>
        <v/>
      </c>
      <c r="B4" s="3" t="n"/>
      <c r="D4" s="87" t="n"/>
      <c r="E4" s="87" t="n"/>
      <c r="K4" s="3" t="n"/>
      <c r="L4" s="87" t="n"/>
      <c r="M4" s="87" t="n"/>
      <c r="O4" s="87" t="n"/>
    </row>
    <row r="5" ht="30" customHeight="1"/>
    <row r="6" ht="50.1" customHeight="1" thickBot="1">
      <c r="A6" s="97" t="inlineStr">
        <is>
          <t>RESUMO POR TIPO DE DESPESAS</t>
        </is>
      </c>
      <c r="B6" s="97" t="n"/>
    </row>
    <row r="7" hidden="1" ht="17.1" customHeight="1" thickBot="1">
      <c r="A7" s="96" t="n"/>
      <c r="B7" s="96" t="n"/>
      <c r="C7" s="71" t="inlineStr">
        <is>
          <t>ADM</t>
        </is>
      </c>
      <c r="D7" s="71" t="inlineStr">
        <is>
          <t>DIV</t>
        </is>
      </c>
      <c r="E7" s="71" t="inlineStr">
        <is>
          <t>LOC</t>
        </is>
      </c>
      <c r="F7" s="71" t="inlineStr">
        <is>
          <t>MAT</t>
        </is>
      </c>
      <c r="G7" s="71" t="inlineStr">
        <is>
          <t>MO</t>
        </is>
      </c>
      <c r="H7" s="71" t="inlineStr">
        <is>
          <t>SERV</t>
        </is>
      </c>
      <c r="I7" s="71" t="inlineStr">
        <is>
          <t>TP</t>
        </is>
      </c>
    </row>
    <row r="8" ht="39.95" customHeight="1" thickBot="1">
      <c r="A8" s="98" t="inlineStr">
        <is>
          <t>DATA</t>
        </is>
      </c>
      <c r="B8" s="98" t="n"/>
      <c r="C8" s="16" t="inlineStr">
        <is>
          <t>ADMINISTRATIVO</t>
        </is>
      </c>
      <c r="D8" s="16" t="inlineStr">
        <is>
          <t>DIVERSOS</t>
        </is>
      </c>
      <c r="E8" s="16" t="inlineStr">
        <is>
          <t>LOCAÇAO</t>
        </is>
      </c>
      <c r="F8" s="16" t="inlineStr">
        <is>
          <t>MATERIAL</t>
        </is>
      </c>
      <c r="G8" s="16" t="inlineStr">
        <is>
          <t>MÃO DE OBRA</t>
        </is>
      </c>
      <c r="H8" s="16" t="inlineStr">
        <is>
          <t>SERVIÇOS</t>
        </is>
      </c>
      <c r="I8" s="16" t="inlineStr">
        <is>
          <t>TARIFAS/TRIBUTOS PÚBLICAS</t>
        </is>
      </c>
      <c r="J8" s="17" t="inlineStr">
        <is>
          <t>TOTAL</t>
        </is>
      </c>
    </row>
    <row r="9" ht="27.95" customHeight="1" thickTop="1">
      <c r="A9" s="99">
        <f>DATE(YEAR(RESUMO!A9),MONTH(RESUMO!A9),1)</f>
        <v/>
      </c>
      <c r="B9" s="100" t="n"/>
      <c r="C9" s="93">
        <f>SUMIFS(Dados!$I$1:$I$1919,Dados!$K$1:$K$1919,Tp.Despesas!C$7,Dados!$A$1:$A$1919,"&gt;="&amp;$A9,Dados!$A$1:$A$1919,"&lt;="&amp;EOMONTH($A9,0))</f>
        <v/>
      </c>
      <c r="D9" s="93">
        <f>SUMIFS(Dados!$I$1:$I$1919,Dados!$K$1:$K$1919,Tp.Despesas!D$7,Dados!$A$1:$A$1919,"&gt;="&amp;$A9,Dados!$A$1:$A$1919,"&lt;="&amp;EOMONTH($A9,0))</f>
        <v/>
      </c>
      <c r="E9" s="93">
        <f>SUMIFS(Dados!$I$1:$I$1919,Dados!$K$1:$K$1919,Tp.Despesas!E$7,Dados!$A$1:$A$1919,"&gt;="&amp;$A9,Dados!$A$1:$A$1919,"&lt;="&amp;EOMONTH($A9,0))</f>
        <v/>
      </c>
      <c r="F9" s="93">
        <f>SUMIFS(Dados!$I$1:$I$1919,Dados!$K$1:$K$1919,Tp.Despesas!F$7,Dados!$A$1:$A$1919,"&gt;="&amp;$A9,Dados!$A$1:$A$1919,"&lt;="&amp;EOMONTH($A9,0))</f>
        <v/>
      </c>
      <c r="G9" s="93">
        <f>SUMIFS(Dados!$I$1:$I$1919,Dados!$K$1:$K$1919,Tp.Despesas!G$7,Dados!$A$1:$A$1919,"&gt;="&amp;$A9,Dados!$A$1:$A$1919,"&lt;="&amp;EOMONTH($A9,0))</f>
        <v/>
      </c>
      <c r="H9" s="93">
        <f>SUMIFS(Dados!$I$1:$I$1919,Dados!$K$1:$K$1919,Tp.Despesas!H$7,Dados!$A$1:$A$1919,"&gt;="&amp;$A9,Dados!$A$1:$A$1919,"&lt;="&amp;EOMONTH($A9,0))</f>
        <v/>
      </c>
      <c r="I9" s="93">
        <f>SUMIFS(Dados!$I$1:$I$1919,Dados!$K$1:$K$1919,Tp.Despesas!I$7,Dados!$A$1:$A$1919,"&gt;="&amp;$A9,Dados!$A$1:$A$1919,"&lt;="&amp;EOMONTH($A9,0))</f>
        <v/>
      </c>
      <c r="J9" s="101">
        <f>SUM(C9:I9)</f>
        <v/>
      </c>
    </row>
    <row r="10" ht="27.95" customHeight="1">
      <c r="A10" s="99">
        <f>EOMONTH(A9,1)-DAY(EOMONTH(A9,1))+1</f>
        <v/>
      </c>
      <c r="B10" s="102" t="n"/>
      <c r="C10" s="93">
        <f>SUMIFS(Dados!$I$1:$I$1919,Dados!$K$1:$K$1919,Tp.Despesas!C$7,Dados!$A$1:$A$1919,"&gt;="&amp;$A10,Dados!$A$1:$A$1919,"&lt;="&amp;EOMONTH($A10,0))</f>
        <v/>
      </c>
      <c r="D10" s="93">
        <f>SUMIFS(Dados!$I$1:$I$1919,Dados!$K$1:$K$1919,Tp.Despesas!D$7,Dados!$A$1:$A$1919,"&gt;="&amp;$A10,Dados!$A$1:$A$1919,"&lt;="&amp;EOMONTH($A10,0))</f>
        <v/>
      </c>
      <c r="E10" s="93">
        <f>SUMIFS(Dados!$I$1:$I$1919,Dados!$K$1:$K$1919,Tp.Despesas!E$7,Dados!$A$1:$A$1919,"&gt;="&amp;$A10,Dados!$A$1:$A$1919,"&lt;="&amp;EOMONTH($A10,0))</f>
        <v/>
      </c>
      <c r="F10" s="93">
        <f>SUMIFS(Dados!$I$1:$I$1919,Dados!$K$1:$K$1919,Tp.Despesas!F$7,Dados!$A$1:$A$1919,"&gt;="&amp;$A10,Dados!$A$1:$A$1919,"&lt;="&amp;EOMONTH($A10,0))</f>
        <v/>
      </c>
      <c r="G10" s="93">
        <f>SUMIFS(Dados!$I$1:$I$1919,Dados!$K$1:$K$1919,Tp.Despesas!G$7,Dados!$A$1:$A$1919,"&gt;="&amp;$A10,Dados!$A$1:$A$1919,"&lt;="&amp;EOMONTH($A10,0))</f>
        <v/>
      </c>
      <c r="H10" s="93">
        <f>SUMIFS(Dados!$I$1:$I$1919,Dados!$K$1:$K$1919,Tp.Despesas!H$7,Dados!$A$1:$A$1919,"&gt;="&amp;$A10,Dados!$A$1:$A$1919,"&lt;="&amp;EOMONTH($A10,0))</f>
        <v/>
      </c>
      <c r="I10" s="93">
        <f>SUMIFS(Dados!$I$1:$I$1919,Dados!$K$1:$K$1919,Tp.Despesas!I$7,Dados!$A$1:$A$1919,"&gt;="&amp;$A10,Dados!$A$1:$A$1919,"&lt;="&amp;EOMONTH($A10,0))</f>
        <v/>
      </c>
      <c r="J10" s="101">
        <f>SUM(C10:I10)</f>
        <v/>
      </c>
    </row>
    <row r="11" ht="27.95" customHeight="1">
      <c r="A11" s="99">
        <f>EOMONTH(A10,1)-DAY(EOMONTH(A10,1))+1</f>
        <v/>
      </c>
      <c r="B11" s="102" t="n"/>
      <c r="C11" s="93">
        <f>SUMIFS(Dados!$I$1:$I$1919,Dados!$K$1:$K$1919,Tp.Despesas!C$7,Dados!$A$1:$A$1919,"&gt;="&amp;$A11,Dados!$A$1:$A$1919,"&lt;="&amp;EOMONTH($A11,0))</f>
        <v/>
      </c>
      <c r="D11" s="93">
        <f>SUMIFS(Dados!$I$1:$I$1919,Dados!$K$1:$K$1919,Tp.Despesas!D$7,Dados!$A$1:$A$1919,"&gt;="&amp;$A11,Dados!$A$1:$A$1919,"&lt;="&amp;EOMONTH($A11,0))</f>
        <v/>
      </c>
      <c r="E11" s="93">
        <f>SUMIFS(Dados!$I$1:$I$1919,Dados!$K$1:$K$1919,Tp.Despesas!E$7,Dados!$A$1:$A$1919,"&gt;="&amp;$A11,Dados!$A$1:$A$1919,"&lt;="&amp;EOMONTH($A11,0))</f>
        <v/>
      </c>
      <c r="F11" s="93">
        <f>SUMIFS(Dados!$I$1:$I$1919,Dados!$K$1:$K$1919,Tp.Despesas!F$7,Dados!$A$1:$A$1919,"&gt;="&amp;$A11,Dados!$A$1:$A$1919,"&lt;="&amp;EOMONTH($A11,0))</f>
        <v/>
      </c>
      <c r="G11" s="93">
        <f>SUMIFS(Dados!$I$1:$I$1919,Dados!$K$1:$K$1919,Tp.Despesas!G$7,Dados!$A$1:$A$1919,"&gt;="&amp;$A11,Dados!$A$1:$A$1919,"&lt;="&amp;EOMONTH($A11,0))</f>
        <v/>
      </c>
      <c r="H11" s="93">
        <f>SUMIFS(Dados!$I$1:$I$1919,Dados!$K$1:$K$1919,Tp.Despesas!H$7,Dados!$A$1:$A$1919,"&gt;="&amp;$A11,Dados!$A$1:$A$1919,"&lt;="&amp;EOMONTH($A11,0))</f>
        <v/>
      </c>
      <c r="I11" s="93">
        <f>SUMIFS(Dados!$I$1:$I$1919,Dados!$K$1:$K$1919,Tp.Despesas!I$7,Dados!$A$1:$A$1919,"&gt;="&amp;$A11,Dados!$A$1:$A$1919,"&lt;="&amp;EOMONTH($A11,0))</f>
        <v/>
      </c>
      <c r="J11" s="101">
        <f>SUM(C11:I11)</f>
        <v/>
      </c>
    </row>
    <row r="12" ht="27.95" customHeight="1">
      <c r="A12" s="99">
        <f>EOMONTH(A11,1)-DAY(EOMONTH(A11,1))+1</f>
        <v/>
      </c>
      <c r="B12" s="102" t="n"/>
      <c r="C12" s="93">
        <f>SUMIFS(Dados!$I$1:$I$1919,Dados!$K$1:$K$1919,Tp.Despesas!C$7,Dados!$A$1:$A$1919,"&gt;="&amp;$A12,Dados!$A$1:$A$1919,"&lt;="&amp;EOMONTH($A12,0))</f>
        <v/>
      </c>
      <c r="D12" s="93">
        <f>SUMIFS(Dados!$I$1:$I$1919,Dados!$K$1:$K$1919,Tp.Despesas!D$7,Dados!$A$1:$A$1919,"&gt;="&amp;$A12,Dados!$A$1:$A$1919,"&lt;="&amp;EOMONTH($A12,0))</f>
        <v/>
      </c>
      <c r="E12" s="93">
        <f>SUMIFS(Dados!$I$1:$I$1919,Dados!$K$1:$K$1919,Tp.Despesas!E$7,Dados!$A$1:$A$1919,"&gt;="&amp;$A12,Dados!$A$1:$A$1919,"&lt;="&amp;EOMONTH($A12,0))</f>
        <v/>
      </c>
      <c r="F12" s="93">
        <f>SUMIFS(Dados!$I$1:$I$1919,Dados!$K$1:$K$1919,Tp.Despesas!F$7,Dados!$A$1:$A$1919,"&gt;="&amp;$A12,Dados!$A$1:$A$1919,"&lt;="&amp;EOMONTH($A12,0))</f>
        <v/>
      </c>
      <c r="G12" s="93">
        <f>SUMIFS(Dados!$I$1:$I$1919,Dados!$K$1:$K$1919,Tp.Despesas!G$7,Dados!$A$1:$A$1919,"&gt;="&amp;$A12,Dados!$A$1:$A$1919,"&lt;="&amp;EOMONTH($A12,0))</f>
        <v/>
      </c>
      <c r="H12" s="93">
        <f>SUMIFS(Dados!$I$1:$I$1919,Dados!$K$1:$K$1919,Tp.Despesas!H$7,Dados!$A$1:$A$1919,"&gt;="&amp;$A12,Dados!$A$1:$A$1919,"&lt;="&amp;EOMONTH($A12,0))</f>
        <v/>
      </c>
      <c r="I12" s="93">
        <f>SUMIFS(Dados!$I$1:$I$1919,Dados!$K$1:$K$1919,Tp.Despesas!I$7,Dados!$A$1:$A$1919,"&gt;="&amp;$A12,Dados!$A$1:$A$1919,"&lt;="&amp;EOMONTH($A12,0))</f>
        <v/>
      </c>
      <c r="J12" s="101">
        <f>SUM(C12:I12)</f>
        <v/>
      </c>
    </row>
    <row r="13" ht="27.95" customHeight="1">
      <c r="A13" s="99">
        <f>EOMONTH(A12,1)-DAY(EOMONTH(A12,1))+1</f>
        <v/>
      </c>
      <c r="B13" s="102" t="n"/>
      <c r="C13" s="93">
        <f>SUMIFS(Dados!$I$1:$I$1919,Dados!$K$1:$K$1919,Tp.Despesas!C$7,Dados!$A$1:$A$1919,"&gt;="&amp;$A13,Dados!$A$1:$A$1919,"&lt;="&amp;EOMONTH($A13,0))</f>
        <v/>
      </c>
      <c r="D13" s="93">
        <f>SUMIFS(Dados!$I$1:$I$1919,Dados!$K$1:$K$1919,Tp.Despesas!D$7,Dados!$A$1:$A$1919,"&gt;="&amp;$A13,Dados!$A$1:$A$1919,"&lt;="&amp;EOMONTH($A13,0))</f>
        <v/>
      </c>
      <c r="E13" s="93">
        <f>SUMIFS(Dados!$I$1:$I$1919,Dados!$K$1:$K$1919,Tp.Despesas!E$7,Dados!$A$1:$A$1919,"&gt;="&amp;$A13,Dados!$A$1:$A$1919,"&lt;="&amp;EOMONTH($A13,0))</f>
        <v/>
      </c>
      <c r="F13" s="93">
        <f>SUMIFS(Dados!$I$1:$I$1919,Dados!$K$1:$K$1919,Tp.Despesas!F$7,Dados!$A$1:$A$1919,"&gt;="&amp;$A13,Dados!$A$1:$A$1919,"&lt;="&amp;EOMONTH($A13,0))</f>
        <v/>
      </c>
      <c r="G13" s="93">
        <f>SUMIFS(Dados!$I$1:$I$1919,Dados!$K$1:$K$1919,Tp.Despesas!G$7,Dados!$A$1:$A$1919,"&gt;="&amp;$A13,Dados!$A$1:$A$1919,"&lt;="&amp;EOMONTH($A13,0))</f>
        <v/>
      </c>
      <c r="H13" s="93">
        <f>SUMIFS(Dados!$I$1:$I$1919,Dados!$K$1:$K$1919,Tp.Despesas!H$7,Dados!$A$1:$A$1919,"&gt;="&amp;$A13,Dados!$A$1:$A$1919,"&lt;="&amp;EOMONTH($A13,0))</f>
        <v/>
      </c>
      <c r="I13" s="93">
        <f>SUMIFS(Dados!$I$1:$I$1919,Dados!$K$1:$K$1919,Tp.Despesas!I$7,Dados!$A$1:$A$1919,"&gt;="&amp;$A13,Dados!$A$1:$A$1919,"&lt;="&amp;EOMONTH($A13,0))</f>
        <v/>
      </c>
      <c r="J13" s="101">
        <f>SUM(C13:I13)</f>
        <v/>
      </c>
    </row>
    <row r="14" ht="27.95" customHeight="1">
      <c r="A14" s="99">
        <f>EOMONTH(A13,1)-DAY(EOMONTH(A13,1))+1</f>
        <v/>
      </c>
      <c r="B14" s="102" t="n"/>
      <c r="C14" s="93">
        <f>SUMIFS(Dados!$I$1:$I$1919,Dados!$K$1:$K$1919,Tp.Despesas!C$7,Dados!$A$1:$A$1919,"&gt;="&amp;$A14,Dados!$A$1:$A$1919,"&lt;="&amp;EOMONTH($A14,0))</f>
        <v/>
      </c>
      <c r="D14" s="93">
        <f>SUMIFS(Dados!$I$1:$I$1919,Dados!$K$1:$K$1919,Tp.Despesas!D$7,Dados!$A$1:$A$1919,"&gt;="&amp;$A14,Dados!$A$1:$A$1919,"&lt;="&amp;EOMONTH($A14,0))</f>
        <v/>
      </c>
      <c r="E14" s="93">
        <f>SUMIFS(Dados!$I$1:$I$1919,Dados!$K$1:$K$1919,Tp.Despesas!E$7,Dados!$A$1:$A$1919,"&gt;="&amp;$A14,Dados!$A$1:$A$1919,"&lt;="&amp;EOMONTH($A14,0))</f>
        <v/>
      </c>
      <c r="F14" s="93">
        <f>SUMIFS(Dados!$I$1:$I$1919,Dados!$K$1:$K$1919,Tp.Despesas!F$7,Dados!$A$1:$A$1919,"&gt;="&amp;$A14,Dados!$A$1:$A$1919,"&lt;="&amp;EOMONTH($A14,0))</f>
        <v/>
      </c>
      <c r="G14" s="93">
        <f>SUMIFS(Dados!$I$1:$I$1919,Dados!$K$1:$K$1919,Tp.Despesas!G$7,Dados!$A$1:$A$1919,"&gt;="&amp;$A14,Dados!$A$1:$A$1919,"&lt;="&amp;EOMONTH($A14,0))</f>
        <v/>
      </c>
      <c r="H14" s="93">
        <f>SUMIFS(Dados!$I$1:$I$1919,Dados!$K$1:$K$1919,Tp.Despesas!H$7,Dados!$A$1:$A$1919,"&gt;="&amp;$A14,Dados!$A$1:$A$1919,"&lt;="&amp;EOMONTH($A14,0))</f>
        <v/>
      </c>
      <c r="I14" s="93">
        <f>SUMIFS(Dados!$I$1:$I$1919,Dados!$K$1:$K$1919,Tp.Despesas!I$7,Dados!$A$1:$A$1919,"&gt;="&amp;$A14,Dados!$A$1:$A$1919,"&lt;="&amp;EOMONTH($A14,0))</f>
        <v/>
      </c>
      <c r="J14" s="101">
        <f>SUM(C14:I14)</f>
        <v/>
      </c>
    </row>
    <row r="15" ht="27.95" customHeight="1">
      <c r="A15" s="99">
        <f>EOMONTH(A14,1)-DAY(EOMONTH(A14,1))+1</f>
        <v/>
      </c>
      <c r="B15" s="102" t="n"/>
      <c r="C15" s="93">
        <f>SUMIFS(Dados!$I$1:$I$1919,Dados!$K$1:$K$1919,Tp.Despesas!C$7,Dados!$A$1:$A$1919,"&gt;="&amp;$A15,Dados!$A$1:$A$1919,"&lt;="&amp;EOMONTH($A15,0))</f>
        <v/>
      </c>
      <c r="D15" s="93">
        <f>SUMIFS(Dados!$I$1:$I$1919,Dados!$K$1:$K$1919,Tp.Despesas!D$7,Dados!$A$1:$A$1919,"&gt;="&amp;$A15,Dados!$A$1:$A$1919,"&lt;="&amp;EOMONTH($A15,0))</f>
        <v/>
      </c>
      <c r="E15" s="93">
        <f>SUMIFS(Dados!$I$1:$I$1919,Dados!$K$1:$K$1919,Tp.Despesas!E$7,Dados!$A$1:$A$1919,"&gt;="&amp;$A15,Dados!$A$1:$A$1919,"&lt;="&amp;EOMONTH($A15,0))</f>
        <v/>
      </c>
      <c r="F15" s="93">
        <f>SUMIFS(Dados!$I$1:$I$1919,Dados!$K$1:$K$1919,Tp.Despesas!F$7,Dados!$A$1:$A$1919,"&gt;="&amp;$A15,Dados!$A$1:$A$1919,"&lt;="&amp;EOMONTH($A15,0))</f>
        <v/>
      </c>
      <c r="G15" s="93">
        <f>SUMIFS(Dados!$I$1:$I$1919,Dados!$K$1:$K$1919,Tp.Despesas!G$7,Dados!$A$1:$A$1919,"&gt;="&amp;$A15,Dados!$A$1:$A$1919,"&lt;="&amp;EOMONTH($A15,0))</f>
        <v/>
      </c>
      <c r="H15" s="93">
        <f>SUMIFS(Dados!$I$1:$I$1919,Dados!$K$1:$K$1919,Tp.Despesas!H$7,Dados!$A$1:$A$1919,"&gt;="&amp;$A15,Dados!$A$1:$A$1919,"&lt;="&amp;EOMONTH($A15,0))</f>
        <v/>
      </c>
      <c r="I15" s="93">
        <f>SUMIFS(Dados!$I$1:$I$1919,Dados!$K$1:$K$1919,Tp.Despesas!I$7,Dados!$A$1:$A$1919,"&gt;="&amp;$A15,Dados!$A$1:$A$1919,"&lt;="&amp;EOMONTH($A15,0))</f>
        <v/>
      </c>
      <c r="J15" s="101">
        <f>SUM(C15:I15)</f>
        <v/>
      </c>
    </row>
    <row r="16" ht="27.95" customHeight="1">
      <c r="A16" s="99">
        <f>EOMONTH(A15,1)-DAY(EOMONTH(A15,1))+1</f>
        <v/>
      </c>
      <c r="B16" s="102" t="n"/>
      <c r="C16" s="93">
        <f>SUMIFS(Dados!$I$1:$I$1919,Dados!$K$1:$K$1919,Tp.Despesas!C$7,Dados!$A$1:$A$1919,"&gt;="&amp;$A16,Dados!$A$1:$A$1919,"&lt;="&amp;EOMONTH($A16,0))</f>
        <v/>
      </c>
      <c r="D16" s="93">
        <f>SUMIFS(Dados!$I$1:$I$1919,Dados!$K$1:$K$1919,Tp.Despesas!D$7,Dados!$A$1:$A$1919,"&gt;="&amp;$A16,Dados!$A$1:$A$1919,"&lt;="&amp;EOMONTH($A16,0))</f>
        <v/>
      </c>
      <c r="E16" s="93">
        <f>SUMIFS(Dados!$I$1:$I$1919,Dados!$K$1:$K$1919,Tp.Despesas!E$7,Dados!$A$1:$A$1919,"&gt;="&amp;$A16,Dados!$A$1:$A$1919,"&lt;="&amp;EOMONTH($A16,0))</f>
        <v/>
      </c>
      <c r="F16" s="93">
        <f>SUMIFS(Dados!$I$1:$I$1919,Dados!$K$1:$K$1919,Tp.Despesas!F$7,Dados!$A$1:$A$1919,"&gt;="&amp;$A16,Dados!$A$1:$A$1919,"&lt;="&amp;EOMONTH($A16,0))</f>
        <v/>
      </c>
      <c r="G16" s="93">
        <f>SUMIFS(Dados!$I$1:$I$1919,Dados!$K$1:$K$1919,Tp.Despesas!G$7,Dados!$A$1:$A$1919,"&gt;="&amp;$A16,Dados!$A$1:$A$1919,"&lt;="&amp;EOMONTH($A16,0))</f>
        <v/>
      </c>
      <c r="H16" s="93">
        <f>SUMIFS(Dados!$I$1:$I$1919,Dados!$K$1:$K$1919,Tp.Despesas!H$7,Dados!$A$1:$A$1919,"&gt;="&amp;$A16,Dados!$A$1:$A$1919,"&lt;="&amp;EOMONTH($A16,0))</f>
        <v/>
      </c>
      <c r="I16" s="93">
        <f>SUMIFS(Dados!$I$1:$I$1919,Dados!$K$1:$K$1919,Tp.Despesas!I$7,Dados!$A$1:$A$1919,"&gt;="&amp;$A16,Dados!$A$1:$A$1919,"&lt;="&amp;EOMONTH($A16,0))</f>
        <v/>
      </c>
      <c r="J16" s="101">
        <f>SUM(C16:I16)</f>
        <v/>
      </c>
    </row>
    <row r="17" ht="27.95" customHeight="1">
      <c r="A17" s="99">
        <f>EOMONTH(A16,1)-DAY(EOMONTH(A16,1))+1</f>
        <v/>
      </c>
      <c r="B17" s="102" t="n"/>
      <c r="C17" s="93">
        <f>SUMIFS(Dados!$I$1:$I$1919,Dados!$K$1:$K$1919,Tp.Despesas!C$7,Dados!$A$1:$A$1919,"&gt;="&amp;$A17,Dados!$A$1:$A$1919,"&lt;="&amp;EOMONTH($A17,0))</f>
        <v/>
      </c>
      <c r="D17" s="93">
        <f>SUMIFS(Dados!$I$1:$I$1919,Dados!$K$1:$K$1919,Tp.Despesas!D$7,Dados!$A$1:$A$1919,"&gt;="&amp;$A17,Dados!$A$1:$A$1919,"&lt;="&amp;EOMONTH($A17,0))</f>
        <v/>
      </c>
      <c r="E17" s="93">
        <f>SUMIFS(Dados!$I$1:$I$1919,Dados!$K$1:$K$1919,Tp.Despesas!E$7,Dados!$A$1:$A$1919,"&gt;="&amp;$A17,Dados!$A$1:$A$1919,"&lt;="&amp;EOMONTH($A17,0))</f>
        <v/>
      </c>
      <c r="F17" s="93">
        <f>SUMIFS(Dados!$I$1:$I$1919,Dados!$K$1:$K$1919,Tp.Despesas!F$7,Dados!$A$1:$A$1919,"&gt;="&amp;$A17,Dados!$A$1:$A$1919,"&lt;="&amp;EOMONTH($A17,0))</f>
        <v/>
      </c>
      <c r="G17" s="93">
        <f>SUMIFS(Dados!$I$1:$I$1919,Dados!$K$1:$K$1919,Tp.Despesas!G$7,Dados!$A$1:$A$1919,"&gt;="&amp;$A17,Dados!$A$1:$A$1919,"&lt;="&amp;EOMONTH($A17,0))</f>
        <v/>
      </c>
      <c r="H17" s="93">
        <f>SUMIFS(Dados!$I$1:$I$1919,Dados!$K$1:$K$1919,Tp.Despesas!H$7,Dados!$A$1:$A$1919,"&gt;="&amp;$A17,Dados!$A$1:$A$1919,"&lt;="&amp;EOMONTH($A17,0))</f>
        <v/>
      </c>
      <c r="I17" s="93">
        <f>SUMIFS(Dados!$I$1:$I$1919,Dados!$K$1:$K$1919,Tp.Despesas!I$7,Dados!$A$1:$A$1919,"&gt;="&amp;$A17,Dados!$A$1:$A$1919,"&lt;="&amp;EOMONTH($A17,0))</f>
        <v/>
      </c>
      <c r="J17" s="101">
        <f>SUM(C17:I17)</f>
        <v/>
      </c>
    </row>
    <row r="18" ht="27.95" customHeight="1">
      <c r="A18" s="99">
        <f>EOMONTH(A17,1)-DAY(EOMONTH(A17,1))+1</f>
        <v/>
      </c>
      <c r="B18" s="102" t="n"/>
      <c r="C18" s="93">
        <f>SUMIFS(Dados!$I$1:$I$1919,Dados!$K$1:$K$1919,Tp.Despesas!C$7,Dados!$A$1:$A$1919,"&gt;="&amp;$A18,Dados!$A$1:$A$1919,"&lt;="&amp;EOMONTH($A18,0))</f>
        <v/>
      </c>
      <c r="D18" s="93">
        <f>SUMIFS(Dados!$I$1:$I$1919,Dados!$K$1:$K$1919,Tp.Despesas!D$7,Dados!$A$1:$A$1919,"&gt;="&amp;$A18,Dados!$A$1:$A$1919,"&lt;="&amp;EOMONTH($A18,0))</f>
        <v/>
      </c>
      <c r="E18" s="93">
        <f>SUMIFS(Dados!$I$1:$I$1919,Dados!$K$1:$K$1919,Tp.Despesas!E$7,Dados!$A$1:$A$1919,"&gt;="&amp;$A18,Dados!$A$1:$A$1919,"&lt;="&amp;EOMONTH($A18,0))</f>
        <v/>
      </c>
      <c r="F18" s="93">
        <f>SUMIFS(Dados!$I$1:$I$1919,Dados!$K$1:$K$1919,Tp.Despesas!F$7,Dados!$A$1:$A$1919,"&gt;="&amp;$A18,Dados!$A$1:$A$1919,"&lt;="&amp;EOMONTH($A18,0))</f>
        <v/>
      </c>
      <c r="G18" s="93">
        <f>SUMIFS(Dados!$I$1:$I$1919,Dados!$K$1:$K$1919,Tp.Despesas!G$7,Dados!$A$1:$A$1919,"&gt;="&amp;$A18,Dados!$A$1:$A$1919,"&lt;="&amp;EOMONTH($A18,0))</f>
        <v/>
      </c>
      <c r="H18" s="93">
        <f>SUMIFS(Dados!$I$1:$I$1919,Dados!$K$1:$K$1919,Tp.Despesas!H$7,Dados!$A$1:$A$1919,"&gt;="&amp;$A18,Dados!$A$1:$A$1919,"&lt;="&amp;EOMONTH($A18,0))</f>
        <v/>
      </c>
      <c r="I18" s="93">
        <f>SUMIFS(Dados!$I$1:$I$1919,Dados!$K$1:$K$1919,Tp.Despesas!I$7,Dados!$A$1:$A$1919,"&gt;="&amp;$A18,Dados!$A$1:$A$1919,"&lt;="&amp;EOMONTH($A18,0))</f>
        <v/>
      </c>
      <c r="J18" s="101">
        <f>SUM(C18:I18)</f>
        <v/>
      </c>
    </row>
    <row r="19" ht="27.95" customHeight="1">
      <c r="A19" s="99">
        <f>EOMONTH(A18,1)-DAY(EOMONTH(A18,1))+1</f>
        <v/>
      </c>
      <c r="B19" s="102" t="n"/>
      <c r="C19" s="93">
        <f>SUMIFS(Dados!$I$1:$I$1919,Dados!$K$1:$K$1919,Tp.Despesas!C$7,Dados!$A$1:$A$1919,"&gt;="&amp;$A19,Dados!$A$1:$A$1919,"&lt;="&amp;EOMONTH($A19,0))</f>
        <v/>
      </c>
      <c r="D19" s="93">
        <f>SUMIFS(Dados!$I$1:$I$1919,Dados!$K$1:$K$1919,Tp.Despesas!D$7,Dados!$A$1:$A$1919,"&gt;="&amp;$A19,Dados!$A$1:$A$1919,"&lt;="&amp;EOMONTH($A19,0))</f>
        <v/>
      </c>
      <c r="E19" s="93">
        <f>SUMIFS(Dados!$I$1:$I$1919,Dados!$K$1:$K$1919,Tp.Despesas!E$7,Dados!$A$1:$A$1919,"&gt;="&amp;$A19,Dados!$A$1:$A$1919,"&lt;="&amp;EOMONTH($A19,0))</f>
        <v/>
      </c>
      <c r="F19" s="93">
        <f>SUMIFS(Dados!$I$1:$I$1919,Dados!$K$1:$K$1919,Tp.Despesas!F$7,Dados!$A$1:$A$1919,"&gt;="&amp;$A19,Dados!$A$1:$A$1919,"&lt;="&amp;EOMONTH($A19,0))</f>
        <v/>
      </c>
      <c r="G19" s="93">
        <f>SUMIFS(Dados!$I$1:$I$1919,Dados!$K$1:$K$1919,Tp.Despesas!G$7,Dados!$A$1:$A$1919,"&gt;="&amp;$A19,Dados!$A$1:$A$1919,"&lt;="&amp;EOMONTH($A19,0))</f>
        <v/>
      </c>
      <c r="H19" s="93">
        <f>SUMIFS(Dados!$I$1:$I$1919,Dados!$K$1:$K$1919,Tp.Despesas!H$7,Dados!$A$1:$A$1919,"&gt;="&amp;$A19,Dados!$A$1:$A$1919,"&lt;="&amp;EOMONTH($A19,0))</f>
        <v/>
      </c>
      <c r="I19" s="93">
        <f>SUMIFS(Dados!$I$1:$I$1919,Dados!$K$1:$K$1919,Tp.Despesas!I$7,Dados!$A$1:$A$1919,"&gt;="&amp;$A19,Dados!$A$1:$A$1919,"&lt;="&amp;EOMONTH($A19,0))</f>
        <v/>
      </c>
      <c r="J19" s="101">
        <f>SUM(C19:I19)</f>
        <v/>
      </c>
    </row>
    <row r="20" ht="27.95" customHeight="1">
      <c r="A20" s="99">
        <f>EOMONTH(A19,1)-DAY(EOMONTH(A19,1))+1</f>
        <v/>
      </c>
      <c r="B20" s="102" t="n"/>
      <c r="C20" s="93">
        <f>SUMIFS(Dados!$I$1:$I$1919,Dados!$K$1:$K$1919,Tp.Despesas!C$7,Dados!$A$1:$A$1919,"&gt;="&amp;$A20,Dados!$A$1:$A$1919,"&lt;="&amp;EOMONTH($A20,0))</f>
        <v/>
      </c>
      <c r="D20" s="93">
        <f>SUMIFS(Dados!$I$1:$I$1919,Dados!$K$1:$K$1919,Tp.Despesas!D$7,Dados!$A$1:$A$1919,"&gt;="&amp;$A20,Dados!$A$1:$A$1919,"&lt;="&amp;EOMONTH($A20,0))</f>
        <v/>
      </c>
      <c r="E20" s="93">
        <f>SUMIFS(Dados!$I$1:$I$1919,Dados!$K$1:$K$1919,Tp.Despesas!E$7,Dados!$A$1:$A$1919,"&gt;="&amp;$A20,Dados!$A$1:$A$1919,"&lt;="&amp;EOMONTH($A20,0))</f>
        <v/>
      </c>
      <c r="F20" s="93">
        <f>SUMIFS(Dados!$I$1:$I$1919,Dados!$K$1:$K$1919,Tp.Despesas!F$7,Dados!$A$1:$A$1919,"&gt;="&amp;$A20,Dados!$A$1:$A$1919,"&lt;="&amp;EOMONTH($A20,0))</f>
        <v/>
      </c>
      <c r="G20" s="93">
        <f>SUMIFS(Dados!$I$1:$I$1919,Dados!$K$1:$K$1919,Tp.Despesas!G$7,Dados!$A$1:$A$1919,"&gt;="&amp;$A20,Dados!$A$1:$A$1919,"&lt;="&amp;EOMONTH($A20,0))</f>
        <v/>
      </c>
      <c r="H20" s="93">
        <f>SUMIFS(Dados!$I$1:$I$1919,Dados!$K$1:$K$1919,Tp.Despesas!H$7,Dados!$A$1:$A$1919,"&gt;="&amp;$A20,Dados!$A$1:$A$1919,"&lt;="&amp;EOMONTH($A20,0))</f>
        <v/>
      </c>
      <c r="I20" s="93">
        <f>SUMIFS(Dados!$I$1:$I$1919,Dados!$K$1:$K$1919,Tp.Despesas!I$7,Dados!$A$1:$A$1919,"&gt;="&amp;$A20,Dados!$A$1:$A$1919,"&lt;="&amp;EOMONTH($A20,0))</f>
        <v/>
      </c>
      <c r="J20" s="101">
        <f>SUM(C20:I20)</f>
        <v/>
      </c>
    </row>
    <row r="21" ht="27.95" customHeight="1">
      <c r="A21" s="99">
        <f>EOMONTH(A20,1)-DAY(EOMONTH(A20,1))+1</f>
        <v/>
      </c>
      <c r="B21" s="103" t="n"/>
      <c r="C21" s="93">
        <f>SUMIFS(Dados!$I$1:$I$1919,Dados!$K$1:$K$1919,Tp.Despesas!C$7,Dados!$A$1:$A$1919,"&gt;="&amp;$A21,Dados!$A$1:$A$1919,"&lt;="&amp;EOMONTH($A21,0))</f>
        <v/>
      </c>
      <c r="D21" s="93">
        <f>SUMIFS(Dados!$I$1:$I$1919,Dados!$K$1:$K$1919,Tp.Despesas!D$7,Dados!$A$1:$A$1919,"&gt;="&amp;$A21,Dados!$A$1:$A$1919,"&lt;="&amp;EOMONTH($A21,0))</f>
        <v/>
      </c>
      <c r="E21" s="93">
        <f>SUMIFS(Dados!$I$1:$I$1919,Dados!$K$1:$K$1919,Tp.Despesas!E$7,Dados!$A$1:$A$1919,"&gt;="&amp;$A21,Dados!$A$1:$A$1919,"&lt;="&amp;EOMONTH($A21,0))</f>
        <v/>
      </c>
      <c r="F21" s="93">
        <f>SUMIFS(Dados!$I$1:$I$1919,Dados!$K$1:$K$1919,Tp.Despesas!F$7,Dados!$A$1:$A$1919,"&gt;="&amp;$A21,Dados!$A$1:$A$1919,"&lt;="&amp;EOMONTH($A21,0))</f>
        <v/>
      </c>
      <c r="G21" s="93">
        <f>SUMIFS(Dados!$I$1:$I$1919,Dados!$K$1:$K$1919,Tp.Despesas!G$7,Dados!$A$1:$A$1919,"&gt;="&amp;$A21,Dados!$A$1:$A$1919,"&lt;="&amp;EOMONTH($A21,0))</f>
        <v/>
      </c>
      <c r="H21" s="93">
        <f>SUMIFS(Dados!$I$1:$I$1919,Dados!$K$1:$K$1919,Tp.Despesas!H$7,Dados!$A$1:$A$1919,"&gt;="&amp;$A21,Dados!$A$1:$A$1919,"&lt;="&amp;EOMONTH($A21,0))</f>
        <v/>
      </c>
      <c r="I21" s="93">
        <f>SUMIFS(Dados!$I$1:$I$1919,Dados!$K$1:$K$1919,Tp.Despesas!I$7,Dados!$A$1:$A$1919,"&gt;="&amp;$A21,Dados!$A$1:$A$1919,"&lt;="&amp;EOMONTH($A21,0))</f>
        <v/>
      </c>
      <c r="J21" s="101">
        <f>SUM(C21:I21)</f>
        <v/>
      </c>
    </row>
    <row r="22" ht="27.95" customHeight="1">
      <c r="A22" s="99">
        <f>EOMONTH(A21,1)-DAY(EOMONTH(A21,1))+1</f>
        <v/>
      </c>
      <c r="B22" s="103" t="n"/>
      <c r="C22" s="93">
        <f>SUMIFS(Dados!$I$1:$I$1919,Dados!$K$1:$K$1919,Tp.Despesas!C$7,Dados!$A$1:$A$1919,"&gt;="&amp;$A22,Dados!$A$1:$A$1919,"&lt;="&amp;EOMONTH($A22,0))</f>
        <v/>
      </c>
      <c r="D22" s="93">
        <f>SUMIFS(Dados!$I$1:$I$1919,Dados!$K$1:$K$1919,Tp.Despesas!D$7,Dados!$A$1:$A$1919,"&gt;="&amp;$A22,Dados!$A$1:$A$1919,"&lt;="&amp;EOMONTH($A22,0))</f>
        <v/>
      </c>
      <c r="E22" s="93">
        <f>SUMIFS(Dados!$I$1:$I$1919,Dados!$K$1:$K$1919,Tp.Despesas!E$7,Dados!$A$1:$A$1919,"&gt;="&amp;$A22,Dados!$A$1:$A$1919,"&lt;="&amp;EOMONTH($A22,0))</f>
        <v/>
      </c>
      <c r="F22" s="93">
        <f>SUMIFS(Dados!$I$1:$I$1919,Dados!$K$1:$K$1919,Tp.Despesas!F$7,Dados!$A$1:$A$1919,"&gt;="&amp;$A22,Dados!$A$1:$A$1919,"&lt;="&amp;EOMONTH($A22,0))</f>
        <v/>
      </c>
      <c r="G22" s="93">
        <f>SUMIFS(Dados!$I$1:$I$1919,Dados!$K$1:$K$1919,Tp.Despesas!G$7,Dados!$A$1:$A$1919,"&gt;="&amp;$A22,Dados!$A$1:$A$1919,"&lt;="&amp;EOMONTH($A22,0))</f>
        <v/>
      </c>
      <c r="H22" s="93">
        <f>SUMIFS(Dados!$I$1:$I$1919,Dados!$K$1:$K$1919,Tp.Despesas!H$7,Dados!$A$1:$A$1919,"&gt;="&amp;$A22,Dados!$A$1:$A$1919,"&lt;="&amp;EOMONTH($A22,0))</f>
        <v/>
      </c>
      <c r="I22" s="93">
        <f>SUMIFS(Dados!$I$1:$I$1919,Dados!$K$1:$K$1919,Tp.Despesas!I$7,Dados!$A$1:$A$1919,"&gt;="&amp;$A22,Dados!$A$1:$A$1919,"&lt;="&amp;EOMONTH($A22,0))</f>
        <v/>
      </c>
      <c r="J22" s="101">
        <f>SUM(C22:I22)</f>
        <v/>
      </c>
    </row>
    <row r="23" ht="27.95" customHeight="1">
      <c r="A23" s="99">
        <f>EOMONTH(A22,1)-DAY(EOMONTH(A22,1))+1</f>
        <v/>
      </c>
      <c r="B23" s="103" t="n"/>
      <c r="C23" s="93">
        <f>SUMIFS(Dados!$I$1:$I$1919,Dados!$K$1:$K$1919,Tp.Despesas!C$7,Dados!$A$1:$A$1919,"&gt;="&amp;$A23,Dados!$A$1:$A$1919,"&lt;="&amp;EOMONTH($A23,0))</f>
        <v/>
      </c>
      <c r="D23" s="93">
        <f>SUMIFS(Dados!$I$1:$I$1919,Dados!$K$1:$K$1919,Tp.Despesas!D$7,Dados!$A$1:$A$1919,"&gt;="&amp;$A23,Dados!$A$1:$A$1919,"&lt;="&amp;EOMONTH($A23,0))</f>
        <v/>
      </c>
      <c r="E23" s="93">
        <f>SUMIFS(Dados!$I$1:$I$1919,Dados!$K$1:$K$1919,Tp.Despesas!E$7,Dados!$A$1:$A$1919,"&gt;="&amp;$A23,Dados!$A$1:$A$1919,"&lt;="&amp;EOMONTH($A23,0))</f>
        <v/>
      </c>
      <c r="F23" s="93">
        <f>SUMIFS(Dados!$I$1:$I$1919,Dados!$K$1:$K$1919,Tp.Despesas!F$7,Dados!$A$1:$A$1919,"&gt;="&amp;$A23,Dados!$A$1:$A$1919,"&lt;="&amp;EOMONTH($A23,0))</f>
        <v/>
      </c>
      <c r="G23" s="93">
        <f>SUMIFS(Dados!$I$1:$I$1919,Dados!$K$1:$K$1919,Tp.Despesas!G$7,Dados!$A$1:$A$1919,"&gt;="&amp;$A23,Dados!$A$1:$A$1919,"&lt;="&amp;EOMONTH($A23,0))</f>
        <v/>
      </c>
      <c r="H23" s="93">
        <f>SUMIFS(Dados!$I$1:$I$1919,Dados!$K$1:$K$1919,Tp.Despesas!H$7,Dados!$A$1:$A$1919,"&gt;="&amp;$A23,Dados!$A$1:$A$1919,"&lt;="&amp;EOMONTH($A23,0))</f>
        <v/>
      </c>
      <c r="I23" s="93">
        <f>SUMIFS(Dados!$I$1:$I$1919,Dados!$K$1:$K$1919,Tp.Despesas!I$7,Dados!$A$1:$A$1919,"&gt;="&amp;$A23,Dados!$A$1:$A$1919,"&lt;="&amp;EOMONTH($A23,0))</f>
        <v/>
      </c>
      <c r="J23" s="101">
        <f>SUM(C23:I23)</f>
        <v/>
      </c>
    </row>
    <row r="24" ht="27.95" customHeight="1">
      <c r="A24" s="99">
        <f>EOMONTH(A23,1)-DAY(EOMONTH(A23,1))+1</f>
        <v/>
      </c>
      <c r="B24" s="103" t="n"/>
      <c r="C24" s="93">
        <f>SUMIFS(Dados!$I$1:$I$1919,Dados!$K$1:$K$1919,Tp.Despesas!C$7,Dados!$A$1:$A$1919,"&gt;="&amp;$A24,Dados!$A$1:$A$1919,"&lt;="&amp;EOMONTH($A24,0))</f>
        <v/>
      </c>
      <c r="D24" s="93">
        <f>SUMIFS(Dados!$I$1:$I$1919,Dados!$K$1:$K$1919,Tp.Despesas!D$7,Dados!$A$1:$A$1919,"&gt;="&amp;$A24,Dados!$A$1:$A$1919,"&lt;="&amp;EOMONTH($A24,0))</f>
        <v/>
      </c>
      <c r="E24" s="93">
        <f>SUMIFS(Dados!$I$1:$I$1919,Dados!$K$1:$K$1919,Tp.Despesas!E$7,Dados!$A$1:$A$1919,"&gt;="&amp;$A24,Dados!$A$1:$A$1919,"&lt;="&amp;EOMONTH($A24,0))</f>
        <v/>
      </c>
      <c r="F24" s="93">
        <f>SUMIFS(Dados!$I$1:$I$1919,Dados!$K$1:$K$1919,Tp.Despesas!F$7,Dados!$A$1:$A$1919,"&gt;="&amp;$A24,Dados!$A$1:$A$1919,"&lt;="&amp;EOMONTH($A24,0))</f>
        <v/>
      </c>
      <c r="G24" s="93">
        <f>SUMIFS(Dados!$I$1:$I$1919,Dados!$K$1:$K$1919,Tp.Despesas!G$7,Dados!$A$1:$A$1919,"&gt;="&amp;$A24,Dados!$A$1:$A$1919,"&lt;="&amp;EOMONTH($A24,0))</f>
        <v/>
      </c>
      <c r="H24" s="93">
        <f>SUMIFS(Dados!$I$1:$I$1919,Dados!$K$1:$K$1919,Tp.Despesas!H$7,Dados!$A$1:$A$1919,"&gt;="&amp;$A24,Dados!$A$1:$A$1919,"&lt;="&amp;EOMONTH($A24,0))</f>
        <v/>
      </c>
      <c r="I24" s="93">
        <f>SUMIFS(Dados!$I$1:$I$1919,Dados!$K$1:$K$1919,Tp.Despesas!I$7,Dados!$A$1:$A$1919,"&gt;="&amp;$A24,Dados!$A$1:$A$1919,"&lt;="&amp;EOMONTH($A24,0))</f>
        <v/>
      </c>
      <c r="J24" s="101">
        <f>SUM(C24:I24)</f>
        <v/>
      </c>
    </row>
    <row r="25" ht="27.95" customHeight="1">
      <c r="A25" s="99">
        <f>EOMONTH(A24,1)-DAY(EOMONTH(A24,1))+1</f>
        <v/>
      </c>
      <c r="B25" s="103" t="n"/>
      <c r="C25" s="93">
        <f>SUMIFS(Dados!$I$1:$I$1919,Dados!$K$1:$K$1919,Tp.Despesas!C$7,Dados!$A$1:$A$1919,"&gt;="&amp;$A25,Dados!$A$1:$A$1919,"&lt;="&amp;EOMONTH($A25,0))</f>
        <v/>
      </c>
      <c r="D25" s="93">
        <f>SUMIFS(Dados!$I$1:$I$1919,Dados!$K$1:$K$1919,Tp.Despesas!D$7,Dados!$A$1:$A$1919,"&gt;="&amp;$A25,Dados!$A$1:$A$1919,"&lt;="&amp;EOMONTH($A25,0))</f>
        <v/>
      </c>
      <c r="E25" s="93">
        <f>SUMIFS(Dados!$I$1:$I$1919,Dados!$K$1:$K$1919,Tp.Despesas!E$7,Dados!$A$1:$A$1919,"&gt;="&amp;$A25,Dados!$A$1:$A$1919,"&lt;="&amp;EOMONTH($A25,0))</f>
        <v/>
      </c>
      <c r="F25" s="93">
        <f>SUMIFS(Dados!$I$1:$I$1919,Dados!$K$1:$K$1919,Tp.Despesas!F$7,Dados!$A$1:$A$1919,"&gt;="&amp;$A25,Dados!$A$1:$A$1919,"&lt;="&amp;EOMONTH($A25,0))</f>
        <v/>
      </c>
      <c r="G25" s="93">
        <f>SUMIFS(Dados!$I$1:$I$1919,Dados!$K$1:$K$1919,Tp.Despesas!G$7,Dados!$A$1:$A$1919,"&gt;="&amp;$A25,Dados!$A$1:$A$1919,"&lt;="&amp;EOMONTH($A25,0))</f>
        <v/>
      </c>
      <c r="H25" s="93">
        <f>SUMIFS(Dados!$I$1:$I$1919,Dados!$K$1:$K$1919,Tp.Despesas!H$7,Dados!$A$1:$A$1919,"&gt;="&amp;$A25,Dados!$A$1:$A$1919,"&lt;="&amp;EOMONTH($A25,0))</f>
        <v/>
      </c>
      <c r="I25" s="93">
        <f>SUMIFS(Dados!$I$1:$I$1919,Dados!$K$1:$K$1919,Tp.Despesas!I$7,Dados!$A$1:$A$1919,"&gt;="&amp;$A25,Dados!$A$1:$A$1919,"&lt;="&amp;EOMONTH($A25,0))</f>
        <v/>
      </c>
      <c r="J25" s="101">
        <f>SUM(C25:I25)</f>
        <v/>
      </c>
    </row>
    <row r="26" ht="27.95" customHeight="1">
      <c r="A26" s="99">
        <f>EOMONTH(A25,1)-DAY(EOMONTH(A25,1))+1</f>
        <v/>
      </c>
      <c r="B26" s="103" t="n"/>
      <c r="C26" s="93">
        <f>SUMIFS(Dados!$I$1:$I$1919,Dados!$K$1:$K$1919,Tp.Despesas!C$7,Dados!$A$1:$A$1919,"&gt;="&amp;$A26,Dados!$A$1:$A$1919,"&lt;="&amp;EOMONTH($A26,0))</f>
        <v/>
      </c>
      <c r="D26" s="93">
        <f>SUMIFS(Dados!$I$1:$I$1919,Dados!$K$1:$K$1919,Tp.Despesas!D$7,Dados!$A$1:$A$1919,"&gt;="&amp;$A26,Dados!$A$1:$A$1919,"&lt;="&amp;EOMONTH($A26,0))</f>
        <v/>
      </c>
      <c r="E26" s="93">
        <f>SUMIFS(Dados!$I$1:$I$1919,Dados!$K$1:$K$1919,Tp.Despesas!E$7,Dados!$A$1:$A$1919,"&gt;="&amp;$A26,Dados!$A$1:$A$1919,"&lt;="&amp;EOMONTH($A26,0))</f>
        <v/>
      </c>
      <c r="F26" s="93">
        <f>SUMIFS(Dados!$I$1:$I$1919,Dados!$K$1:$K$1919,Tp.Despesas!F$7,Dados!$A$1:$A$1919,"&gt;="&amp;$A26,Dados!$A$1:$A$1919,"&lt;="&amp;EOMONTH($A26,0))</f>
        <v/>
      </c>
      <c r="G26" s="93">
        <f>SUMIFS(Dados!$I$1:$I$1919,Dados!$K$1:$K$1919,Tp.Despesas!G$7,Dados!$A$1:$A$1919,"&gt;="&amp;$A26,Dados!$A$1:$A$1919,"&lt;="&amp;EOMONTH($A26,0))</f>
        <v/>
      </c>
      <c r="H26" s="93">
        <f>SUMIFS(Dados!$I$1:$I$1919,Dados!$K$1:$K$1919,Tp.Despesas!H$7,Dados!$A$1:$A$1919,"&gt;="&amp;$A26,Dados!$A$1:$A$1919,"&lt;="&amp;EOMONTH($A26,0))</f>
        <v/>
      </c>
      <c r="I26" s="93">
        <f>SUMIFS(Dados!$I$1:$I$1919,Dados!$K$1:$K$1919,Tp.Despesas!I$7,Dados!$A$1:$A$1919,"&gt;="&amp;$A26,Dados!$A$1:$A$1919,"&lt;="&amp;EOMONTH($A26,0))</f>
        <v/>
      </c>
      <c r="J26" s="101">
        <f>SUM(C26:I26)</f>
        <v/>
      </c>
    </row>
    <row r="27" ht="27.95" customHeight="1">
      <c r="A27" s="99">
        <f>EOMONTH(A26,1)-DAY(EOMONTH(A26,1))+1</f>
        <v/>
      </c>
      <c r="B27" s="103" t="n"/>
      <c r="C27" s="93">
        <f>SUMIFS(Dados!$I$1:$I$1919,Dados!$K$1:$K$1919,Tp.Despesas!C$7,Dados!$A$1:$A$1919,"&gt;="&amp;$A27,Dados!$A$1:$A$1919,"&lt;="&amp;EOMONTH($A27,0))</f>
        <v/>
      </c>
      <c r="D27" s="93">
        <f>SUMIFS(Dados!$I$1:$I$1919,Dados!$K$1:$K$1919,Tp.Despesas!D$7,Dados!$A$1:$A$1919,"&gt;="&amp;$A27,Dados!$A$1:$A$1919,"&lt;="&amp;EOMONTH($A27,0))</f>
        <v/>
      </c>
      <c r="E27" s="93">
        <f>SUMIFS(Dados!$I$1:$I$1919,Dados!$K$1:$K$1919,Tp.Despesas!E$7,Dados!$A$1:$A$1919,"&gt;="&amp;$A27,Dados!$A$1:$A$1919,"&lt;="&amp;EOMONTH($A27,0))</f>
        <v/>
      </c>
      <c r="F27" s="93">
        <f>SUMIFS(Dados!$I$1:$I$1919,Dados!$K$1:$K$1919,Tp.Despesas!F$7,Dados!$A$1:$A$1919,"&gt;="&amp;$A27,Dados!$A$1:$A$1919,"&lt;="&amp;EOMONTH($A27,0))</f>
        <v/>
      </c>
      <c r="G27" s="93">
        <f>SUMIFS(Dados!$I$1:$I$1919,Dados!$K$1:$K$1919,Tp.Despesas!G$7,Dados!$A$1:$A$1919,"&gt;="&amp;$A27,Dados!$A$1:$A$1919,"&lt;="&amp;EOMONTH($A27,0))</f>
        <v/>
      </c>
      <c r="H27" s="93">
        <f>SUMIFS(Dados!$I$1:$I$1919,Dados!$K$1:$K$1919,Tp.Despesas!H$7,Dados!$A$1:$A$1919,"&gt;="&amp;$A27,Dados!$A$1:$A$1919,"&lt;="&amp;EOMONTH($A27,0))</f>
        <v/>
      </c>
      <c r="I27" s="93">
        <f>SUMIFS(Dados!$I$1:$I$1919,Dados!$K$1:$K$1919,Tp.Despesas!I$7,Dados!$A$1:$A$1919,"&gt;="&amp;$A27,Dados!$A$1:$A$1919,"&lt;="&amp;EOMONTH($A27,0))</f>
        <v/>
      </c>
      <c r="J27" s="101">
        <f>SUM(C27:I27)</f>
        <v/>
      </c>
    </row>
    <row r="28" ht="27.95" customHeight="1">
      <c r="A28" s="99">
        <f>EOMONTH(A27,1)-DAY(EOMONTH(A27,1))+1</f>
        <v/>
      </c>
      <c r="B28" s="103" t="n"/>
      <c r="C28" s="93">
        <f>SUMIFS(Dados!$I$1:$I$1919,Dados!$K$1:$K$1919,Tp.Despesas!C$7,Dados!$A$1:$A$1919,"&gt;="&amp;$A28,Dados!$A$1:$A$1919,"&lt;="&amp;EOMONTH($A28,0))</f>
        <v/>
      </c>
      <c r="D28" s="93">
        <f>SUMIFS(Dados!$I$1:$I$1919,Dados!$K$1:$K$1919,Tp.Despesas!D$7,Dados!$A$1:$A$1919,"&gt;="&amp;$A28,Dados!$A$1:$A$1919,"&lt;="&amp;EOMONTH($A28,0))</f>
        <v/>
      </c>
      <c r="E28" s="93">
        <f>SUMIFS(Dados!$I$1:$I$1919,Dados!$K$1:$K$1919,Tp.Despesas!E$7,Dados!$A$1:$A$1919,"&gt;="&amp;$A28,Dados!$A$1:$A$1919,"&lt;="&amp;EOMONTH($A28,0))</f>
        <v/>
      </c>
      <c r="F28" s="93">
        <f>SUMIFS(Dados!$I$1:$I$1919,Dados!$K$1:$K$1919,Tp.Despesas!F$7,Dados!$A$1:$A$1919,"&gt;="&amp;$A28,Dados!$A$1:$A$1919,"&lt;="&amp;EOMONTH($A28,0))</f>
        <v/>
      </c>
      <c r="G28" s="93">
        <f>SUMIFS(Dados!$I$1:$I$1919,Dados!$K$1:$K$1919,Tp.Despesas!G$7,Dados!$A$1:$A$1919,"&gt;="&amp;$A28,Dados!$A$1:$A$1919,"&lt;="&amp;EOMONTH($A28,0))</f>
        <v/>
      </c>
      <c r="H28" s="93">
        <f>SUMIFS(Dados!$I$1:$I$1919,Dados!$K$1:$K$1919,Tp.Despesas!H$7,Dados!$A$1:$A$1919,"&gt;="&amp;$A28,Dados!$A$1:$A$1919,"&lt;="&amp;EOMONTH($A28,0))</f>
        <v/>
      </c>
      <c r="I28" s="93">
        <f>SUMIFS(Dados!$I$1:$I$1919,Dados!$K$1:$K$1919,Tp.Despesas!I$7,Dados!$A$1:$A$1919,"&gt;="&amp;$A28,Dados!$A$1:$A$1919,"&lt;="&amp;EOMONTH($A28,0))</f>
        <v/>
      </c>
      <c r="J28" s="101">
        <f>SUM(C28:I28)</f>
        <v/>
      </c>
    </row>
    <row r="29" ht="27.95" customHeight="1">
      <c r="A29" s="99">
        <f>EOMONTH(A28,1)-DAY(EOMONTH(A28,1))+1</f>
        <v/>
      </c>
      <c r="B29" s="103" t="n"/>
      <c r="C29" s="93">
        <f>SUMIFS(Dados!$I$1:$I$1919,Dados!$K$1:$K$1919,Tp.Despesas!C$7,Dados!$A$1:$A$1919,"&gt;="&amp;$A29,Dados!$A$1:$A$1919,"&lt;="&amp;EOMONTH($A29,0))</f>
        <v/>
      </c>
      <c r="D29" s="93">
        <f>SUMIFS(Dados!$I$1:$I$1919,Dados!$K$1:$K$1919,Tp.Despesas!D$7,Dados!$A$1:$A$1919,"&gt;="&amp;$A29,Dados!$A$1:$A$1919,"&lt;="&amp;EOMONTH($A29,0))</f>
        <v/>
      </c>
      <c r="E29" s="93">
        <f>SUMIFS(Dados!$I$1:$I$1919,Dados!$K$1:$K$1919,Tp.Despesas!E$7,Dados!$A$1:$A$1919,"&gt;="&amp;$A29,Dados!$A$1:$A$1919,"&lt;="&amp;EOMONTH($A29,0))</f>
        <v/>
      </c>
      <c r="F29" s="93">
        <f>SUMIFS(Dados!$I$1:$I$1919,Dados!$K$1:$K$1919,Tp.Despesas!F$7,Dados!$A$1:$A$1919,"&gt;="&amp;$A29,Dados!$A$1:$A$1919,"&lt;="&amp;EOMONTH($A29,0))</f>
        <v/>
      </c>
      <c r="G29" s="93">
        <f>SUMIFS(Dados!$I$1:$I$1919,Dados!$K$1:$K$1919,Tp.Despesas!G$7,Dados!$A$1:$A$1919,"&gt;="&amp;$A29,Dados!$A$1:$A$1919,"&lt;="&amp;EOMONTH($A29,0))</f>
        <v/>
      </c>
      <c r="H29" s="93">
        <f>SUMIFS(Dados!$I$1:$I$1919,Dados!$K$1:$K$1919,Tp.Despesas!H$7,Dados!$A$1:$A$1919,"&gt;="&amp;$A29,Dados!$A$1:$A$1919,"&lt;="&amp;EOMONTH($A29,0))</f>
        <v/>
      </c>
      <c r="I29" s="93">
        <f>SUMIFS(Dados!$I$1:$I$1919,Dados!$K$1:$K$1919,Tp.Despesas!I$7,Dados!$A$1:$A$1919,"&gt;="&amp;$A29,Dados!$A$1:$A$1919,"&lt;="&amp;EOMONTH($A29,0))</f>
        <v/>
      </c>
      <c r="J29" s="101">
        <f>SUM(C29:I29)</f>
        <v/>
      </c>
    </row>
    <row r="30" ht="27.95" customHeight="1">
      <c r="A30" s="99">
        <f>EOMONTH(A29,1)-DAY(EOMONTH(A29,1))+1</f>
        <v/>
      </c>
      <c r="B30" s="103" t="n"/>
      <c r="C30" s="93">
        <f>SUMIFS(Dados!$I$1:$I$1919,Dados!$K$1:$K$1919,Tp.Despesas!C$7,Dados!$A$1:$A$1919,"&gt;="&amp;$A30,Dados!$A$1:$A$1919,"&lt;="&amp;EOMONTH($A30,0))</f>
        <v/>
      </c>
      <c r="D30" s="93">
        <f>SUMIFS(Dados!$I$1:$I$1919,Dados!$K$1:$K$1919,Tp.Despesas!D$7,Dados!$A$1:$A$1919,"&gt;="&amp;$A30,Dados!$A$1:$A$1919,"&lt;="&amp;EOMONTH($A30,0))</f>
        <v/>
      </c>
      <c r="E30" s="93">
        <f>SUMIFS(Dados!$I$1:$I$1919,Dados!$K$1:$K$1919,Tp.Despesas!E$7,Dados!$A$1:$A$1919,"&gt;="&amp;$A30,Dados!$A$1:$A$1919,"&lt;="&amp;EOMONTH($A30,0))</f>
        <v/>
      </c>
      <c r="F30" s="93">
        <f>SUMIFS(Dados!$I$1:$I$1919,Dados!$K$1:$K$1919,Tp.Despesas!F$7,Dados!$A$1:$A$1919,"&gt;="&amp;$A30,Dados!$A$1:$A$1919,"&lt;="&amp;EOMONTH($A30,0))</f>
        <v/>
      </c>
      <c r="G30" s="93">
        <f>SUMIFS(Dados!$I$1:$I$1919,Dados!$K$1:$K$1919,Tp.Despesas!G$7,Dados!$A$1:$A$1919,"&gt;="&amp;$A30,Dados!$A$1:$A$1919,"&lt;="&amp;EOMONTH($A30,0))</f>
        <v/>
      </c>
      <c r="H30" s="93">
        <f>SUMIFS(Dados!$I$1:$I$1919,Dados!$K$1:$K$1919,Tp.Despesas!H$7,Dados!$A$1:$A$1919,"&gt;="&amp;$A30,Dados!$A$1:$A$1919,"&lt;="&amp;EOMONTH($A30,0))</f>
        <v/>
      </c>
      <c r="I30" s="93">
        <f>SUMIFS(Dados!$I$1:$I$1919,Dados!$K$1:$K$1919,Tp.Despesas!I$7,Dados!$A$1:$A$1919,"&gt;="&amp;$A30,Dados!$A$1:$A$1919,"&lt;="&amp;EOMONTH($A30,0))</f>
        <v/>
      </c>
      <c r="J30" s="101">
        <f>SUM(C30:I30)</f>
        <v/>
      </c>
    </row>
    <row r="31" ht="27.95" customHeight="1">
      <c r="A31" s="99">
        <f>EOMONTH(A30,1)-DAY(EOMONTH(A30,1))+1</f>
        <v/>
      </c>
      <c r="B31" s="103" t="n"/>
      <c r="C31" s="93">
        <f>SUMIFS(Dados!$I$1:$I$1919,Dados!$K$1:$K$1919,Tp.Despesas!C$7,Dados!$A$1:$A$1919,"&gt;="&amp;$A31,Dados!$A$1:$A$1919,"&lt;="&amp;EOMONTH($A31,0))</f>
        <v/>
      </c>
      <c r="D31" s="93">
        <f>SUMIFS(Dados!$I$1:$I$1919,Dados!$K$1:$K$1919,Tp.Despesas!D$7,Dados!$A$1:$A$1919,"&gt;="&amp;$A31,Dados!$A$1:$A$1919,"&lt;="&amp;EOMONTH($A31,0))</f>
        <v/>
      </c>
      <c r="E31" s="93">
        <f>SUMIFS(Dados!$I$1:$I$1919,Dados!$K$1:$K$1919,Tp.Despesas!E$7,Dados!$A$1:$A$1919,"&gt;="&amp;$A31,Dados!$A$1:$A$1919,"&lt;="&amp;EOMONTH($A31,0))</f>
        <v/>
      </c>
      <c r="F31" s="93">
        <f>SUMIFS(Dados!$I$1:$I$1919,Dados!$K$1:$K$1919,Tp.Despesas!F$7,Dados!$A$1:$A$1919,"&gt;="&amp;$A31,Dados!$A$1:$A$1919,"&lt;="&amp;EOMONTH($A31,0))</f>
        <v/>
      </c>
      <c r="G31" s="93">
        <f>SUMIFS(Dados!$I$1:$I$1919,Dados!$K$1:$K$1919,Tp.Despesas!G$7,Dados!$A$1:$A$1919,"&gt;="&amp;$A31,Dados!$A$1:$A$1919,"&lt;="&amp;EOMONTH($A31,0))</f>
        <v/>
      </c>
      <c r="H31" s="93">
        <f>SUMIFS(Dados!$I$1:$I$1919,Dados!$K$1:$K$1919,Tp.Despesas!H$7,Dados!$A$1:$A$1919,"&gt;="&amp;$A31,Dados!$A$1:$A$1919,"&lt;="&amp;EOMONTH($A31,0))</f>
        <v/>
      </c>
      <c r="I31" s="93">
        <f>SUMIFS(Dados!$I$1:$I$1919,Dados!$K$1:$K$1919,Tp.Despesas!I$7,Dados!$A$1:$A$1919,"&gt;="&amp;$A31,Dados!$A$1:$A$1919,"&lt;="&amp;EOMONTH($A31,0))</f>
        <v/>
      </c>
      <c r="J31" s="101">
        <f>SUM(C31:I31)</f>
        <v/>
      </c>
    </row>
    <row r="32" ht="27.95" customHeight="1">
      <c r="A32" s="99">
        <f>EOMONTH(A31,1)-DAY(EOMONTH(A31,1))+1</f>
        <v/>
      </c>
      <c r="B32" s="103" t="n"/>
      <c r="C32" s="93">
        <f>SUMIFS(Dados!$I$1:$I$1919,Dados!$K$1:$K$1919,Tp.Despesas!C$7,Dados!$A$1:$A$1919,"&gt;="&amp;$A32,Dados!$A$1:$A$1919,"&lt;="&amp;EOMONTH($A32,0))</f>
        <v/>
      </c>
      <c r="D32" s="93">
        <f>SUMIFS(Dados!$I$1:$I$1919,Dados!$K$1:$K$1919,Tp.Despesas!D$7,Dados!$A$1:$A$1919,"&gt;="&amp;$A32,Dados!$A$1:$A$1919,"&lt;="&amp;EOMONTH($A32,0))</f>
        <v/>
      </c>
      <c r="E32" s="93">
        <f>SUMIFS(Dados!$I$1:$I$1919,Dados!$K$1:$K$1919,Tp.Despesas!E$7,Dados!$A$1:$A$1919,"&gt;="&amp;$A32,Dados!$A$1:$A$1919,"&lt;="&amp;EOMONTH($A32,0))</f>
        <v/>
      </c>
      <c r="F32" s="93">
        <f>SUMIFS(Dados!$I$1:$I$1919,Dados!$K$1:$K$1919,Tp.Despesas!F$7,Dados!$A$1:$A$1919,"&gt;="&amp;$A32,Dados!$A$1:$A$1919,"&lt;="&amp;EOMONTH($A32,0))</f>
        <v/>
      </c>
      <c r="G32" s="93">
        <f>SUMIFS(Dados!$I$1:$I$1919,Dados!$K$1:$K$1919,Tp.Despesas!G$7,Dados!$A$1:$A$1919,"&gt;="&amp;$A32,Dados!$A$1:$A$1919,"&lt;="&amp;EOMONTH($A32,0))</f>
        <v/>
      </c>
      <c r="H32" s="93">
        <f>SUMIFS(Dados!$I$1:$I$1919,Dados!$K$1:$K$1919,Tp.Despesas!H$7,Dados!$A$1:$A$1919,"&gt;="&amp;$A32,Dados!$A$1:$A$1919,"&lt;="&amp;EOMONTH($A32,0))</f>
        <v/>
      </c>
      <c r="I32" s="93">
        <f>SUMIFS(Dados!$I$1:$I$1919,Dados!$K$1:$K$1919,Tp.Despesas!I$7,Dados!$A$1:$A$1919,"&gt;="&amp;$A32,Dados!$A$1:$A$1919,"&lt;="&amp;EOMONTH($A32,0))</f>
        <v/>
      </c>
      <c r="J32" s="101">
        <f>SUM(C32:I32)</f>
        <v/>
      </c>
    </row>
    <row r="33" ht="27.95" customHeight="1">
      <c r="A33" s="99">
        <f>EOMONTH(A32,1)-DAY(EOMONTH(A32,1))+1</f>
        <v/>
      </c>
      <c r="B33" s="103" t="n"/>
      <c r="C33" s="93">
        <f>SUMIFS(Dados!$I$1:$I$1919,Dados!$K$1:$K$1919,Tp.Despesas!C$7,Dados!$A$1:$A$1919,"&gt;="&amp;$A33,Dados!$A$1:$A$1919,"&lt;="&amp;EOMONTH($A33,0))</f>
        <v/>
      </c>
      <c r="D33" s="93">
        <f>SUMIFS(Dados!$I$1:$I$1919,Dados!$K$1:$K$1919,Tp.Despesas!D$7,Dados!$A$1:$A$1919,"&gt;="&amp;$A33,Dados!$A$1:$A$1919,"&lt;="&amp;EOMONTH($A33,0))</f>
        <v/>
      </c>
      <c r="E33" s="93">
        <f>SUMIFS(Dados!$I$1:$I$1919,Dados!$K$1:$K$1919,Tp.Despesas!E$7,Dados!$A$1:$A$1919,"&gt;="&amp;$A33,Dados!$A$1:$A$1919,"&lt;="&amp;EOMONTH($A33,0))</f>
        <v/>
      </c>
      <c r="F33" s="93">
        <f>SUMIFS(Dados!$I$1:$I$1919,Dados!$K$1:$K$1919,Tp.Despesas!F$7,Dados!$A$1:$A$1919,"&gt;="&amp;$A33,Dados!$A$1:$A$1919,"&lt;="&amp;EOMONTH($A33,0))</f>
        <v/>
      </c>
      <c r="G33" s="93">
        <f>SUMIFS(Dados!$I$1:$I$1919,Dados!$K$1:$K$1919,Tp.Despesas!G$7,Dados!$A$1:$A$1919,"&gt;="&amp;$A33,Dados!$A$1:$A$1919,"&lt;="&amp;EOMONTH($A33,0))</f>
        <v/>
      </c>
      <c r="H33" s="93">
        <f>SUMIFS(Dados!$I$1:$I$1919,Dados!$K$1:$K$1919,Tp.Despesas!H$7,Dados!$A$1:$A$1919,"&gt;="&amp;$A33,Dados!$A$1:$A$1919,"&lt;="&amp;EOMONTH($A33,0))</f>
        <v/>
      </c>
      <c r="I33" s="93">
        <f>SUMIFS(Dados!$I$1:$I$1919,Dados!$K$1:$K$1919,Tp.Despesas!I$7,Dados!$A$1:$A$1919,"&gt;="&amp;$A33,Dados!$A$1:$A$1919,"&lt;="&amp;EOMONTH($A33,0))</f>
        <v/>
      </c>
      <c r="J33" s="101">
        <f>SUM(C33:I33)</f>
        <v/>
      </c>
    </row>
    <row r="34" ht="27.95" customHeight="1">
      <c r="A34" s="99">
        <f>EOMONTH(A33,1)-DAY(EOMONTH(A33,1))+1</f>
        <v/>
      </c>
      <c r="B34" s="103" t="n"/>
      <c r="C34" s="93">
        <f>SUMIFS(Dados!$I$1:$I$1919,Dados!$K$1:$K$1919,Tp.Despesas!C$7,Dados!$A$1:$A$1919,"&gt;="&amp;$A34,Dados!$A$1:$A$1919,"&lt;="&amp;EOMONTH($A34,0))</f>
        <v/>
      </c>
      <c r="D34" s="93">
        <f>SUMIFS(Dados!$I$1:$I$1919,Dados!$K$1:$K$1919,Tp.Despesas!D$7,Dados!$A$1:$A$1919,"&gt;="&amp;$A34,Dados!$A$1:$A$1919,"&lt;="&amp;EOMONTH($A34,0))</f>
        <v/>
      </c>
      <c r="E34" s="93">
        <f>SUMIFS(Dados!$I$1:$I$1919,Dados!$K$1:$K$1919,Tp.Despesas!E$7,Dados!$A$1:$A$1919,"&gt;="&amp;$A34,Dados!$A$1:$A$1919,"&lt;="&amp;EOMONTH($A34,0))</f>
        <v/>
      </c>
      <c r="F34" s="93">
        <f>SUMIFS(Dados!$I$1:$I$1919,Dados!$K$1:$K$1919,Tp.Despesas!F$7,Dados!$A$1:$A$1919,"&gt;="&amp;$A34,Dados!$A$1:$A$1919,"&lt;="&amp;EOMONTH($A34,0))</f>
        <v/>
      </c>
      <c r="G34" s="93">
        <f>SUMIFS(Dados!$I$1:$I$1919,Dados!$K$1:$K$1919,Tp.Despesas!G$7,Dados!$A$1:$A$1919,"&gt;="&amp;$A34,Dados!$A$1:$A$1919,"&lt;="&amp;EOMONTH($A34,0))</f>
        <v/>
      </c>
      <c r="H34" s="93">
        <f>SUMIFS(Dados!$I$1:$I$1919,Dados!$K$1:$K$1919,Tp.Despesas!H$7,Dados!$A$1:$A$1919,"&gt;="&amp;$A34,Dados!$A$1:$A$1919,"&lt;="&amp;EOMONTH($A34,0))</f>
        <v/>
      </c>
      <c r="I34" s="93">
        <f>SUMIFS(Dados!$I$1:$I$1919,Dados!$K$1:$K$1919,Tp.Despesas!I$7,Dados!$A$1:$A$1919,"&gt;="&amp;$A34,Dados!$A$1:$A$1919,"&lt;="&amp;EOMONTH($A34,0))</f>
        <v/>
      </c>
      <c r="J34" s="101">
        <f>SUM(C34:I34)</f>
        <v/>
      </c>
    </row>
    <row r="35" ht="27.95" customHeight="1">
      <c r="A35" s="99">
        <f>EOMONTH(A34,1)-DAY(EOMONTH(A34,1))+1</f>
        <v/>
      </c>
      <c r="B35" s="103" t="n"/>
      <c r="C35" s="93">
        <f>SUMIFS(Dados!$I$1:$I$1919,Dados!$K$1:$K$1919,Tp.Despesas!C$7,Dados!$A$1:$A$1919,"&gt;="&amp;$A35,Dados!$A$1:$A$1919,"&lt;="&amp;EOMONTH($A35,0))</f>
        <v/>
      </c>
      <c r="D35" s="93">
        <f>SUMIFS(Dados!$I$1:$I$1919,Dados!$K$1:$K$1919,Tp.Despesas!D$7,Dados!$A$1:$A$1919,"&gt;="&amp;$A35,Dados!$A$1:$A$1919,"&lt;="&amp;EOMONTH($A35,0))</f>
        <v/>
      </c>
      <c r="E35" s="93">
        <f>SUMIFS(Dados!$I$1:$I$1919,Dados!$K$1:$K$1919,Tp.Despesas!E$7,Dados!$A$1:$A$1919,"&gt;="&amp;$A35,Dados!$A$1:$A$1919,"&lt;="&amp;EOMONTH($A35,0))</f>
        <v/>
      </c>
      <c r="F35" s="93">
        <f>SUMIFS(Dados!$I$1:$I$1919,Dados!$K$1:$K$1919,Tp.Despesas!F$7,Dados!$A$1:$A$1919,"&gt;="&amp;$A35,Dados!$A$1:$A$1919,"&lt;="&amp;EOMONTH($A35,0))</f>
        <v/>
      </c>
      <c r="G35" s="93">
        <f>SUMIFS(Dados!$I$1:$I$1919,Dados!$K$1:$K$1919,Tp.Despesas!G$7,Dados!$A$1:$A$1919,"&gt;="&amp;$A35,Dados!$A$1:$A$1919,"&lt;="&amp;EOMONTH($A35,0))</f>
        <v/>
      </c>
      <c r="H35" s="93">
        <f>SUMIFS(Dados!$I$1:$I$1919,Dados!$K$1:$K$1919,Tp.Despesas!H$7,Dados!$A$1:$A$1919,"&gt;="&amp;$A35,Dados!$A$1:$A$1919,"&lt;="&amp;EOMONTH($A35,0))</f>
        <v/>
      </c>
      <c r="I35" s="93">
        <f>SUMIFS(Dados!$I$1:$I$1919,Dados!$K$1:$K$1919,Tp.Despesas!I$7,Dados!$A$1:$A$1919,"&gt;="&amp;$A35,Dados!$A$1:$A$1919,"&lt;="&amp;EOMONTH($A35,0))</f>
        <v/>
      </c>
      <c r="J35" s="101">
        <f>SUM(C35:I35)</f>
        <v/>
      </c>
    </row>
    <row r="36" ht="27.95" customHeight="1">
      <c r="A36" s="99">
        <f>EOMONTH(A35,1)-DAY(EOMONTH(A35,1))+1</f>
        <v/>
      </c>
      <c r="B36" s="103" t="n"/>
      <c r="C36" s="93">
        <f>SUMIFS(Dados!$I$1:$I$1919,Dados!$K$1:$K$1919,Tp.Despesas!C$7,Dados!$A$1:$A$1919,"&gt;="&amp;$A36,Dados!$A$1:$A$1919,"&lt;="&amp;EOMONTH($A36,0))</f>
        <v/>
      </c>
      <c r="D36" s="93">
        <f>SUMIFS(Dados!$I$1:$I$1919,Dados!$K$1:$K$1919,Tp.Despesas!D$7,Dados!$A$1:$A$1919,"&gt;="&amp;$A36,Dados!$A$1:$A$1919,"&lt;="&amp;EOMONTH($A36,0))</f>
        <v/>
      </c>
      <c r="E36" s="93">
        <f>SUMIFS(Dados!$I$1:$I$1919,Dados!$K$1:$K$1919,Tp.Despesas!E$7,Dados!$A$1:$A$1919,"&gt;="&amp;$A36,Dados!$A$1:$A$1919,"&lt;="&amp;EOMONTH($A36,0))</f>
        <v/>
      </c>
      <c r="F36" s="93">
        <f>SUMIFS(Dados!$I$1:$I$1919,Dados!$K$1:$K$1919,Tp.Despesas!F$7,Dados!$A$1:$A$1919,"&gt;="&amp;$A36,Dados!$A$1:$A$1919,"&lt;="&amp;EOMONTH($A36,0))</f>
        <v/>
      </c>
      <c r="G36" s="93">
        <f>SUMIFS(Dados!$I$1:$I$1919,Dados!$K$1:$K$1919,Tp.Despesas!G$7,Dados!$A$1:$A$1919,"&gt;="&amp;$A36,Dados!$A$1:$A$1919,"&lt;="&amp;EOMONTH($A36,0))</f>
        <v/>
      </c>
      <c r="H36" s="93">
        <f>SUMIFS(Dados!$I$1:$I$1919,Dados!$K$1:$K$1919,Tp.Despesas!H$7,Dados!$A$1:$A$1919,"&gt;="&amp;$A36,Dados!$A$1:$A$1919,"&lt;="&amp;EOMONTH($A36,0))</f>
        <v/>
      </c>
      <c r="I36" s="93">
        <f>SUMIFS(Dados!$I$1:$I$1919,Dados!$K$1:$K$1919,Tp.Despesas!I$7,Dados!$A$1:$A$1919,"&gt;="&amp;$A36,Dados!$A$1:$A$1919,"&lt;="&amp;EOMONTH($A36,0))</f>
        <v/>
      </c>
      <c r="J36" s="101">
        <f>SUM(C36:I36)</f>
        <v/>
      </c>
    </row>
    <row r="37" ht="27.95" customHeight="1">
      <c r="A37" s="99">
        <f>EOMONTH(A36,1)-DAY(EOMONTH(A36,1))+1</f>
        <v/>
      </c>
      <c r="B37" s="103" t="n"/>
      <c r="C37" s="93">
        <f>SUMIFS(Dados!$I$1:$I$1919,Dados!$K$1:$K$1919,Tp.Despesas!C$7,Dados!$A$1:$A$1919,"&gt;="&amp;$A37,Dados!$A$1:$A$1919,"&lt;="&amp;EOMONTH($A37,0))</f>
        <v/>
      </c>
      <c r="D37" s="93">
        <f>SUMIFS(Dados!$I$1:$I$1919,Dados!$K$1:$K$1919,Tp.Despesas!D$7,Dados!$A$1:$A$1919,"&gt;="&amp;$A37,Dados!$A$1:$A$1919,"&lt;="&amp;EOMONTH($A37,0))</f>
        <v/>
      </c>
      <c r="E37" s="93">
        <f>SUMIFS(Dados!$I$1:$I$1919,Dados!$K$1:$K$1919,Tp.Despesas!E$7,Dados!$A$1:$A$1919,"&gt;="&amp;$A37,Dados!$A$1:$A$1919,"&lt;="&amp;EOMONTH($A37,0))</f>
        <v/>
      </c>
      <c r="F37" s="93">
        <f>SUMIFS(Dados!$I$1:$I$1919,Dados!$K$1:$K$1919,Tp.Despesas!F$7,Dados!$A$1:$A$1919,"&gt;="&amp;$A37,Dados!$A$1:$A$1919,"&lt;="&amp;EOMONTH($A37,0))</f>
        <v/>
      </c>
      <c r="G37" s="93">
        <f>SUMIFS(Dados!$I$1:$I$1919,Dados!$K$1:$K$1919,Tp.Despesas!G$7,Dados!$A$1:$A$1919,"&gt;="&amp;$A37,Dados!$A$1:$A$1919,"&lt;="&amp;EOMONTH($A37,0))</f>
        <v/>
      </c>
      <c r="H37" s="93">
        <f>SUMIFS(Dados!$I$1:$I$1919,Dados!$K$1:$K$1919,Tp.Despesas!H$7,Dados!$A$1:$A$1919,"&gt;="&amp;$A37,Dados!$A$1:$A$1919,"&lt;="&amp;EOMONTH($A37,0))</f>
        <v/>
      </c>
      <c r="I37" s="93">
        <f>SUMIFS(Dados!$I$1:$I$1919,Dados!$K$1:$K$1919,Tp.Despesas!I$7,Dados!$A$1:$A$1919,"&gt;="&amp;$A37,Dados!$A$1:$A$1919,"&lt;="&amp;EOMONTH($A37,0))</f>
        <v/>
      </c>
      <c r="J37" s="101">
        <f>SUM(C37:I37)</f>
        <v/>
      </c>
    </row>
    <row r="38" ht="27.95" customHeight="1">
      <c r="A38" s="99">
        <f>EOMONTH(A37,1)-DAY(EOMONTH(A37,1))+1</f>
        <v/>
      </c>
      <c r="B38" s="103" t="n"/>
      <c r="C38" s="93">
        <f>SUMIFS(Dados!$I$1:$I$1919,Dados!$K$1:$K$1919,Tp.Despesas!C$7,Dados!$A$1:$A$1919,"&gt;="&amp;$A38,Dados!$A$1:$A$1919,"&lt;="&amp;EOMONTH($A38,0))</f>
        <v/>
      </c>
      <c r="D38" s="93">
        <f>SUMIFS(Dados!$I$1:$I$1919,Dados!$K$1:$K$1919,Tp.Despesas!D$7,Dados!$A$1:$A$1919,"&gt;="&amp;$A38,Dados!$A$1:$A$1919,"&lt;="&amp;EOMONTH($A38,0))</f>
        <v/>
      </c>
      <c r="E38" s="93">
        <f>SUMIFS(Dados!$I$1:$I$1919,Dados!$K$1:$K$1919,Tp.Despesas!E$7,Dados!$A$1:$A$1919,"&gt;="&amp;$A38,Dados!$A$1:$A$1919,"&lt;="&amp;EOMONTH($A38,0))</f>
        <v/>
      </c>
      <c r="F38" s="93">
        <f>SUMIFS(Dados!$I$1:$I$1919,Dados!$K$1:$K$1919,Tp.Despesas!F$7,Dados!$A$1:$A$1919,"&gt;="&amp;$A38,Dados!$A$1:$A$1919,"&lt;="&amp;EOMONTH($A38,0))</f>
        <v/>
      </c>
      <c r="G38" s="93">
        <f>SUMIFS(Dados!$I$1:$I$1919,Dados!$K$1:$K$1919,Tp.Despesas!G$7,Dados!$A$1:$A$1919,"&gt;="&amp;$A38,Dados!$A$1:$A$1919,"&lt;="&amp;EOMONTH($A38,0))</f>
        <v/>
      </c>
      <c r="H38" s="93">
        <f>SUMIFS(Dados!$I$1:$I$1919,Dados!$K$1:$K$1919,Tp.Despesas!H$7,Dados!$A$1:$A$1919,"&gt;="&amp;$A38,Dados!$A$1:$A$1919,"&lt;="&amp;EOMONTH($A38,0))</f>
        <v/>
      </c>
      <c r="I38" s="93">
        <f>SUMIFS(Dados!$I$1:$I$1919,Dados!$K$1:$K$1919,Tp.Despesas!I$7,Dados!$A$1:$A$1919,"&gt;="&amp;$A38,Dados!$A$1:$A$1919,"&lt;="&amp;EOMONTH($A38,0))</f>
        <v/>
      </c>
      <c r="J38" s="101">
        <f>SUM(C38:I38)</f>
        <v/>
      </c>
    </row>
    <row r="39" ht="27.95" customHeight="1">
      <c r="A39" s="99">
        <f>EOMONTH(A38,1)-DAY(EOMONTH(A38,1))+1</f>
        <v/>
      </c>
      <c r="B39" s="103" t="n"/>
      <c r="C39" s="93">
        <f>SUMIFS(Dados!$I$1:$I$1919,Dados!$K$1:$K$1919,Tp.Despesas!C$7,Dados!$A$1:$A$1919,"&gt;="&amp;$A39,Dados!$A$1:$A$1919,"&lt;="&amp;EOMONTH($A39,0))</f>
        <v/>
      </c>
      <c r="D39" s="93">
        <f>SUMIFS(Dados!$I$1:$I$1919,Dados!$K$1:$K$1919,Tp.Despesas!D$7,Dados!$A$1:$A$1919,"&gt;="&amp;$A39,Dados!$A$1:$A$1919,"&lt;="&amp;EOMONTH($A39,0))</f>
        <v/>
      </c>
      <c r="E39" s="93">
        <f>SUMIFS(Dados!$I$1:$I$1919,Dados!$K$1:$K$1919,Tp.Despesas!E$7,Dados!$A$1:$A$1919,"&gt;="&amp;$A39,Dados!$A$1:$A$1919,"&lt;="&amp;EOMONTH($A39,0))</f>
        <v/>
      </c>
      <c r="F39" s="93">
        <f>SUMIFS(Dados!$I$1:$I$1919,Dados!$K$1:$K$1919,Tp.Despesas!F$7,Dados!$A$1:$A$1919,"&gt;="&amp;$A39,Dados!$A$1:$A$1919,"&lt;="&amp;EOMONTH($A39,0))</f>
        <v/>
      </c>
      <c r="G39" s="93">
        <f>SUMIFS(Dados!$I$1:$I$1919,Dados!$K$1:$K$1919,Tp.Despesas!G$7,Dados!$A$1:$A$1919,"&gt;="&amp;$A39,Dados!$A$1:$A$1919,"&lt;="&amp;EOMONTH($A39,0))</f>
        <v/>
      </c>
      <c r="H39" s="93">
        <f>SUMIFS(Dados!$I$1:$I$1919,Dados!$K$1:$K$1919,Tp.Despesas!H$7,Dados!$A$1:$A$1919,"&gt;="&amp;$A39,Dados!$A$1:$A$1919,"&lt;="&amp;EOMONTH($A39,0))</f>
        <v/>
      </c>
      <c r="I39" s="93">
        <f>SUMIFS(Dados!$I$1:$I$1919,Dados!$K$1:$K$1919,Tp.Despesas!I$7,Dados!$A$1:$A$1919,"&gt;="&amp;$A39,Dados!$A$1:$A$1919,"&lt;="&amp;EOMONTH($A39,0))</f>
        <v/>
      </c>
      <c r="J39" s="101">
        <f>SUM(C39:I39)</f>
        <v/>
      </c>
    </row>
    <row r="40" ht="27.95" customHeight="1">
      <c r="A40" s="99">
        <f>EOMONTH(A39,1)-DAY(EOMONTH(A39,1))+1</f>
        <v/>
      </c>
      <c r="B40" s="103" t="n"/>
      <c r="C40" s="93">
        <f>SUMIFS(Dados!$I$1:$I$1919,Dados!$K$1:$K$1919,Tp.Despesas!C$7,Dados!$A$1:$A$1919,"&gt;="&amp;$A40,Dados!$A$1:$A$1919,"&lt;="&amp;EOMONTH($A40,0))</f>
        <v/>
      </c>
      <c r="D40" s="93">
        <f>SUMIFS(Dados!$I$1:$I$1919,Dados!$K$1:$K$1919,Tp.Despesas!D$7,Dados!$A$1:$A$1919,"&gt;="&amp;$A40,Dados!$A$1:$A$1919,"&lt;="&amp;EOMONTH($A40,0))</f>
        <v/>
      </c>
      <c r="E40" s="93">
        <f>SUMIFS(Dados!$I$1:$I$1919,Dados!$K$1:$K$1919,Tp.Despesas!E$7,Dados!$A$1:$A$1919,"&gt;="&amp;$A40,Dados!$A$1:$A$1919,"&lt;="&amp;EOMONTH($A40,0))</f>
        <v/>
      </c>
      <c r="F40" s="93">
        <f>SUMIFS(Dados!$I$1:$I$1919,Dados!$K$1:$K$1919,Tp.Despesas!F$7,Dados!$A$1:$A$1919,"&gt;="&amp;$A40,Dados!$A$1:$A$1919,"&lt;="&amp;EOMONTH($A40,0))</f>
        <v/>
      </c>
      <c r="G40" s="93">
        <f>SUMIFS(Dados!$I$1:$I$1919,Dados!$K$1:$K$1919,Tp.Despesas!G$7,Dados!$A$1:$A$1919,"&gt;="&amp;$A40,Dados!$A$1:$A$1919,"&lt;="&amp;EOMONTH($A40,0))</f>
        <v/>
      </c>
      <c r="H40" s="93">
        <f>SUMIFS(Dados!$I$1:$I$1919,Dados!$K$1:$K$1919,Tp.Despesas!H$7,Dados!$A$1:$A$1919,"&gt;="&amp;$A40,Dados!$A$1:$A$1919,"&lt;="&amp;EOMONTH($A40,0))</f>
        <v/>
      </c>
      <c r="I40" s="93">
        <f>SUMIFS(Dados!$I$1:$I$1919,Dados!$K$1:$K$1919,Tp.Despesas!I$7,Dados!$A$1:$A$1919,"&gt;="&amp;$A40,Dados!$A$1:$A$1919,"&lt;="&amp;EOMONTH($A40,0))</f>
        <v/>
      </c>
      <c r="J40" s="101">
        <f>SUM(C40:I40)</f>
        <v/>
      </c>
    </row>
    <row r="41" ht="27.95" customHeight="1">
      <c r="A41" s="99">
        <f>EOMONTH(A40,1)-DAY(EOMONTH(A40,1))+1</f>
        <v/>
      </c>
      <c r="B41" s="103" t="n"/>
      <c r="C41" s="93">
        <f>SUMIFS(Dados!$I$1:$I$1919,Dados!$K$1:$K$1919,Tp.Despesas!C$7,Dados!$A$1:$A$1919,"&gt;="&amp;$A41,Dados!$A$1:$A$1919,"&lt;="&amp;EOMONTH($A41,0))</f>
        <v/>
      </c>
      <c r="D41" s="93">
        <f>SUMIFS(Dados!$I$1:$I$1919,Dados!$K$1:$K$1919,Tp.Despesas!D$7,Dados!$A$1:$A$1919,"&gt;="&amp;$A41,Dados!$A$1:$A$1919,"&lt;="&amp;EOMONTH($A41,0))</f>
        <v/>
      </c>
      <c r="E41" s="93">
        <f>SUMIFS(Dados!$I$1:$I$1919,Dados!$K$1:$K$1919,Tp.Despesas!E$7,Dados!$A$1:$A$1919,"&gt;="&amp;$A41,Dados!$A$1:$A$1919,"&lt;="&amp;EOMONTH($A41,0))</f>
        <v/>
      </c>
      <c r="F41" s="93">
        <f>SUMIFS(Dados!$I$1:$I$1919,Dados!$K$1:$K$1919,Tp.Despesas!F$7,Dados!$A$1:$A$1919,"&gt;="&amp;$A41,Dados!$A$1:$A$1919,"&lt;="&amp;EOMONTH($A41,0))</f>
        <v/>
      </c>
      <c r="G41" s="93">
        <f>SUMIFS(Dados!$I$1:$I$1919,Dados!$K$1:$K$1919,Tp.Despesas!G$7,Dados!$A$1:$A$1919,"&gt;="&amp;$A41,Dados!$A$1:$A$1919,"&lt;="&amp;EOMONTH($A41,0))</f>
        <v/>
      </c>
      <c r="H41" s="93">
        <f>SUMIFS(Dados!$I$1:$I$1919,Dados!$K$1:$K$1919,Tp.Despesas!H$7,Dados!$A$1:$A$1919,"&gt;="&amp;$A41,Dados!$A$1:$A$1919,"&lt;="&amp;EOMONTH($A41,0))</f>
        <v/>
      </c>
      <c r="I41" s="93">
        <f>SUMIFS(Dados!$I$1:$I$1919,Dados!$K$1:$K$1919,Tp.Despesas!I$7,Dados!$A$1:$A$1919,"&gt;="&amp;$A41,Dados!$A$1:$A$1919,"&lt;="&amp;EOMONTH($A41,0))</f>
        <v/>
      </c>
      <c r="J41" s="101">
        <f>SUM(C41:I41)</f>
        <v/>
      </c>
    </row>
    <row r="42" ht="27.95" customHeight="1">
      <c r="A42" s="99">
        <f>EOMONTH(A41,1)-DAY(EOMONTH(A41,1))+1</f>
        <v/>
      </c>
      <c r="B42" s="103" t="n"/>
      <c r="C42" s="93">
        <f>SUMIFS(Dados!$I$1:$I$1919,Dados!$K$1:$K$1919,Tp.Despesas!C$7,Dados!$A$1:$A$1919,"&gt;="&amp;$A42,Dados!$A$1:$A$1919,"&lt;="&amp;EOMONTH($A42,0))</f>
        <v/>
      </c>
      <c r="D42" s="93">
        <f>SUMIFS(Dados!$I$1:$I$1919,Dados!$K$1:$K$1919,Tp.Despesas!D$7,Dados!$A$1:$A$1919,"&gt;="&amp;$A42,Dados!$A$1:$A$1919,"&lt;="&amp;EOMONTH($A42,0))</f>
        <v/>
      </c>
      <c r="E42" s="93">
        <f>SUMIFS(Dados!$I$1:$I$1919,Dados!$K$1:$K$1919,Tp.Despesas!E$7,Dados!$A$1:$A$1919,"&gt;="&amp;$A42,Dados!$A$1:$A$1919,"&lt;="&amp;EOMONTH($A42,0))</f>
        <v/>
      </c>
      <c r="F42" s="93">
        <f>SUMIFS(Dados!$I$1:$I$1919,Dados!$K$1:$K$1919,Tp.Despesas!F$7,Dados!$A$1:$A$1919,"&gt;="&amp;$A42,Dados!$A$1:$A$1919,"&lt;="&amp;EOMONTH($A42,0))</f>
        <v/>
      </c>
      <c r="G42" s="93">
        <f>SUMIFS(Dados!$I$1:$I$1919,Dados!$K$1:$K$1919,Tp.Despesas!G$7,Dados!$A$1:$A$1919,"&gt;="&amp;$A42,Dados!$A$1:$A$1919,"&lt;="&amp;EOMONTH($A42,0))</f>
        <v/>
      </c>
      <c r="H42" s="93">
        <f>SUMIFS(Dados!$I$1:$I$1919,Dados!$K$1:$K$1919,Tp.Despesas!H$7,Dados!$A$1:$A$1919,"&gt;="&amp;$A42,Dados!$A$1:$A$1919,"&lt;="&amp;EOMONTH($A42,0))</f>
        <v/>
      </c>
      <c r="I42" s="93">
        <f>SUMIFS(Dados!$I$1:$I$1919,Dados!$K$1:$K$1919,Tp.Despesas!I$7,Dados!$A$1:$A$1919,"&gt;="&amp;$A42,Dados!$A$1:$A$1919,"&lt;="&amp;EOMONTH($A42,0))</f>
        <v/>
      </c>
      <c r="J42" s="101">
        <f>SUM(C42:I42)</f>
        <v/>
      </c>
    </row>
    <row r="43" ht="27.95" customHeight="1">
      <c r="A43" s="99">
        <f>EOMONTH(A42,1)-DAY(EOMONTH(A42,1))+1</f>
        <v/>
      </c>
      <c r="B43" s="103" t="n"/>
      <c r="C43" s="93">
        <f>SUMIFS(Dados!$I$1:$I$1919,Dados!$K$1:$K$1919,Tp.Despesas!C$7,Dados!$A$1:$A$1919,"&gt;="&amp;$A43,Dados!$A$1:$A$1919,"&lt;="&amp;EOMONTH($A43,0))</f>
        <v/>
      </c>
      <c r="D43" s="93">
        <f>SUMIFS(Dados!$I$1:$I$1919,Dados!$K$1:$K$1919,Tp.Despesas!D$7,Dados!$A$1:$A$1919,"&gt;="&amp;$A43,Dados!$A$1:$A$1919,"&lt;="&amp;EOMONTH($A43,0))</f>
        <v/>
      </c>
      <c r="E43" s="93">
        <f>SUMIFS(Dados!$I$1:$I$1919,Dados!$K$1:$K$1919,Tp.Despesas!E$7,Dados!$A$1:$A$1919,"&gt;="&amp;$A43,Dados!$A$1:$A$1919,"&lt;="&amp;EOMONTH($A43,0))</f>
        <v/>
      </c>
      <c r="F43" s="93">
        <f>SUMIFS(Dados!$I$1:$I$1919,Dados!$K$1:$K$1919,Tp.Despesas!F$7,Dados!$A$1:$A$1919,"&gt;="&amp;$A43,Dados!$A$1:$A$1919,"&lt;="&amp;EOMONTH($A43,0))</f>
        <v/>
      </c>
      <c r="G43" s="93">
        <f>SUMIFS(Dados!$I$1:$I$1919,Dados!$K$1:$K$1919,Tp.Despesas!G$7,Dados!$A$1:$A$1919,"&gt;="&amp;$A43,Dados!$A$1:$A$1919,"&lt;="&amp;EOMONTH($A43,0))</f>
        <v/>
      </c>
      <c r="H43" s="93">
        <f>SUMIFS(Dados!$I$1:$I$1919,Dados!$K$1:$K$1919,Tp.Despesas!H$7,Dados!$A$1:$A$1919,"&gt;="&amp;$A43,Dados!$A$1:$A$1919,"&lt;="&amp;EOMONTH($A43,0))</f>
        <v/>
      </c>
      <c r="I43" s="93">
        <f>SUMIFS(Dados!$I$1:$I$1919,Dados!$K$1:$K$1919,Tp.Despesas!I$7,Dados!$A$1:$A$1919,"&gt;="&amp;$A43,Dados!$A$1:$A$1919,"&lt;="&amp;EOMONTH($A43,0))</f>
        <v/>
      </c>
      <c r="J43" s="101">
        <f>SUM(C43:I43)</f>
        <v/>
      </c>
    </row>
    <row r="44" ht="27.95" customHeight="1" thickBot="1">
      <c r="A44" s="99">
        <f>EOMONTH(A43,1)-DAY(EOMONTH(A43,1))+1</f>
        <v/>
      </c>
      <c r="B44" s="103" t="n"/>
      <c r="C44" s="93">
        <f>SUMIFS(Dados!$I$1:$I$1919,Dados!$K$1:$K$1919,Tp.Despesas!C$7,Dados!$A$1:$A$1919,"&gt;="&amp;$A44,Dados!$A$1:$A$1919,"&lt;="&amp;EOMONTH($A44,0))</f>
        <v/>
      </c>
      <c r="D44" s="93">
        <f>SUMIFS(Dados!$I$1:$I$1919,Dados!$K$1:$K$1919,Tp.Despesas!D$7,Dados!$A$1:$A$1919,"&gt;="&amp;$A44,Dados!$A$1:$A$1919,"&lt;="&amp;EOMONTH($A44,0))</f>
        <v/>
      </c>
      <c r="E44" s="93">
        <f>SUMIFS(Dados!$I$1:$I$1919,Dados!$K$1:$K$1919,Tp.Despesas!E$7,Dados!$A$1:$A$1919,"&gt;="&amp;$A44,Dados!$A$1:$A$1919,"&lt;="&amp;EOMONTH($A44,0))</f>
        <v/>
      </c>
      <c r="F44" s="93">
        <f>SUMIFS(Dados!$I$1:$I$1919,Dados!$K$1:$K$1919,Tp.Despesas!F$7,Dados!$A$1:$A$1919,"&gt;="&amp;$A44,Dados!$A$1:$A$1919,"&lt;="&amp;EOMONTH($A44,0))</f>
        <v/>
      </c>
      <c r="G44" s="93">
        <f>SUMIFS(Dados!$I$1:$I$1919,Dados!$K$1:$K$1919,Tp.Despesas!G$7,Dados!$A$1:$A$1919,"&gt;="&amp;$A44,Dados!$A$1:$A$1919,"&lt;="&amp;EOMONTH($A44,0))</f>
        <v/>
      </c>
      <c r="H44" s="93">
        <f>SUMIFS(Dados!$I$1:$I$1919,Dados!$K$1:$K$1919,Tp.Despesas!H$7,Dados!$A$1:$A$1919,"&gt;="&amp;$A44,Dados!$A$1:$A$1919,"&lt;="&amp;EOMONTH($A44,0))</f>
        <v/>
      </c>
      <c r="I44" s="93">
        <f>SUMIFS(Dados!$I$1:$I$1919,Dados!$K$1:$K$1919,Tp.Despesas!I$7,Dados!$A$1:$A$1919,"&gt;="&amp;$A44,Dados!$A$1:$A$1919,"&lt;="&amp;EOMONTH($A44,0))</f>
        <v/>
      </c>
      <c r="J44" s="101">
        <f>SUM(C44:I44)</f>
        <v/>
      </c>
    </row>
    <row r="45" ht="33.95" customHeight="1" thickBot="1" thickTop="1">
      <c r="A45" s="72" t="inlineStr">
        <is>
          <t>TOTAL GERAL</t>
        </is>
      </c>
      <c r="B45" s="73" t="n"/>
      <c r="C45" s="104">
        <f>SUM(C9:C44)</f>
        <v/>
      </c>
      <c r="D45" s="104">
        <f>SUM(D9:D44)</f>
        <v/>
      </c>
      <c r="E45" s="104">
        <f>SUM(E9:E44)</f>
        <v/>
      </c>
      <c r="F45" s="104">
        <f>SUM(F9:F44)</f>
        <v/>
      </c>
      <c r="G45" s="104">
        <f>SUM(G9:G44)</f>
        <v/>
      </c>
      <c r="H45" s="104">
        <f>SUM(H9:H44)</f>
        <v/>
      </c>
      <c r="I45" s="104">
        <f>SUM(I9:I44)</f>
        <v/>
      </c>
      <c r="J45" s="105">
        <f>SUM(J9:J44)</f>
        <v/>
      </c>
    </row>
    <row r="46" ht="17.1" customHeight="1" thickBot="1">
      <c r="A46" s="74" t="n"/>
      <c r="B46" s="75" t="n"/>
      <c r="C46" s="106">
        <f>C45/$J$45</f>
        <v/>
      </c>
      <c r="D46" s="106">
        <f>D45/$J$45</f>
        <v/>
      </c>
      <c r="E46" s="106">
        <f>E45/$J$45</f>
        <v/>
      </c>
      <c r="F46" s="106">
        <f>F45/$J$45</f>
        <v/>
      </c>
      <c r="G46" s="106">
        <f>G45/$J$45</f>
        <v/>
      </c>
      <c r="H46" s="106">
        <f>H45/$J$45</f>
        <v/>
      </c>
      <c r="I46" s="106">
        <f>I45/$J$45</f>
        <v/>
      </c>
      <c r="J46" s="28">
        <f>J45/$J$45</f>
        <v/>
      </c>
    </row>
    <row r="48">
      <c r="J48" s="87">
        <f>RESUMO!L80</f>
        <v/>
      </c>
    </row>
    <row r="49">
      <c r="J49" s="80">
        <f>J48-J45</f>
        <v/>
      </c>
    </row>
    <row r="50">
      <c r="J50" s="31" t="n"/>
    </row>
  </sheetData>
  <mergeCells count="3">
    <mergeCell ref="A45:B46"/>
    <mergeCell ref="G1:J1"/>
    <mergeCell ref="N1:R1"/>
  </mergeCells>
  <printOptions horizontalCentered="1"/>
  <pageMargins left="0" right="0" top="0.5905511811023623" bottom="0.1968503937007874" header="0.3149606299212598" footer="0.3149606299212598"/>
  <pageSetup orientation="portrait" paperSize="9" scale="65" fitToHeight="6"/>
  <rowBreaks count="1" manualBreakCount="1">
    <brk id="5" min="0" max="16383" man="1"/>
  </rowBreaks>
  <colBreaks count="1" manualBreakCount="1">
    <brk id="10" min="0" max="1048575" man="1"/>
  </col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3" sqref="A3"/>
    </sheetView>
  </sheetViews>
  <sheetFormatPr baseColWidth="8" defaultColWidth="8.875" defaultRowHeight="15.75"/>
  <cols>
    <col width="15" customWidth="1" min="1" max="8"/>
    <col width="34.625" bestFit="1" customWidth="1" min="9" max="9"/>
    <col width="9.875" bestFit="1" customWidth="1" min="10" max="10"/>
    <col width="15" customWidth="1" min="11" max="30"/>
  </cols>
  <sheetData>
    <row r="1">
      <c r="A1" t="inlineStr">
        <is>
          <t>CONTRATOS</t>
        </is>
      </c>
      <c r="G1" t="inlineStr">
        <is>
          <t>ADMINISTRADORES_CONTRATO</t>
        </is>
      </c>
      <c r="N1" t="inlineStr">
        <is>
          <t>ADITIVOS</t>
        </is>
      </c>
      <c r="R1" t="inlineStr">
        <is>
          <t>ADMINISTRADORES_ADITIVO</t>
        </is>
      </c>
      <c r="Y1" t="inlineStr">
        <is>
          <t>PARCELAS</t>
        </is>
      </c>
    </row>
    <row r="2">
      <c r="A2" s="61" t="inlineStr">
        <is>
          <t>Nº Contrato</t>
        </is>
      </c>
      <c r="B2" s="61" t="inlineStr">
        <is>
          <t>Data Início</t>
        </is>
      </c>
      <c r="C2" s="61" t="inlineStr">
        <is>
          <t>Data Fim</t>
        </is>
      </c>
      <c r="D2" s="61" t="inlineStr">
        <is>
          <t>Status</t>
        </is>
      </c>
      <c r="E2" s="61" t="inlineStr">
        <is>
          <t>Observações</t>
        </is>
      </c>
      <c r="F2" s="61" t="n"/>
      <c r="G2" s="61" t="inlineStr">
        <is>
          <t>Nº Contrato</t>
        </is>
      </c>
      <c r="H2" s="61" t="inlineStr">
        <is>
          <t>CNPJ/CPF</t>
        </is>
      </c>
      <c r="I2" s="61" t="inlineStr">
        <is>
          <t>Nome/Razão Social</t>
        </is>
      </c>
      <c r="J2" s="61" t="inlineStr">
        <is>
          <t>Tipo</t>
        </is>
      </c>
      <c r="K2" s="61" t="inlineStr">
        <is>
          <t>Valor/Percentual</t>
        </is>
      </c>
      <c r="L2" s="61" t="inlineStr">
        <is>
          <t>Valor Total</t>
        </is>
      </c>
      <c r="M2" s="61" t="inlineStr">
        <is>
          <t>Nº Parcelas</t>
        </is>
      </c>
      <c r="N2" s="61" t="inlineStr">
        <is>
          <t>Nº Contrato</t>
        </is>
      </c>
      <c r="O2" s="61" t="inlineStr">
        <is>
          <t>Nº Aditivo</t>
        </is>
      </c>
      <c r="P2" s="61" t="inlineStr">
        <is>
          <t>Data Início</t>
        </is>
      </c>
      <c r="Q2" s="61" t="inlineStr">
        <is>
          <t>Data Fim</t>
        </is>
      </c>
      <c r="R2" s="61" t="inlineStr">
        <is>
          <t>Nº Contrato</t>
        </is>
      </c>
      <c r="S2" s="61" t="inlineStr">
        <is>
          <t>Nº Aditivo</t>
        </is>
      </c>
      <c r="T2" s="61" t="inlineStr">
        <is>
          <t>CNPJ/CPF</t>
        </is>
      </c>
      <c r="U2" s="61" t="inlineStr">
        <is>
          <t>Nome/Razão Social</t>
        </is>
      </c>
      <c r="V2" s="61" t="inlineStr">
        <is>
          <t>Tipo</t>
        </is>
      </c>
      <c r="W2" s="61" t="inlineStr">
        <is>
          <t>Valor/Percentual</t>
        </is>
      </c>
      <c r="X2" s="61" t="inlineStr">
        <is>
          <t>Valor Total</t>
        </is>
      </c>
      <c r="Y2" s="61" t="inlineStr">
        <is>
          <t>Referência</t>
        </is>
      </c>
      <c r="Z2" s="61" t="inlineStr">
        <is>
          <t>Número</t>
        </is>
      </c>
      <c r="AA2" s="61" t="inlineStr">
        <is>
          <t>CNPJ/CPF</t>
        </is>
      </c>
      <c r="AB2" s="61" t="inlineStr">
        <is>
          <t>Data Vencimento</t>
        </is>
      </c>
      <c r="AC2" s="61" t="inlineStr">
        <is>
          <t>Valor</t>
        </is>
      </c>
      <c r="AD2" s="61" t="inlineStr">
        <is>
          <t>Status</t>
        </is>
      </c>
    </row>
    <row r="3">
      <c r="A3" t="inlineStr">
        <is>
          <t>2024/010</t>
        </is>
      </c>
      <c r="B3" s="107" t="n">
        <v>45540</v>
      </c>
      <c r="C3" s="107" t="n">
        <v>46635</v>
      </c>
      <c r="D3" t="inlineStr">
        <is>
          <t>ATIVO</t>
        </is>
      </c>
    </row>
    <row r="4">
      <c r="G4" t="inlineStr">
        <is>
          <t>2024/010</t>
        </is>
      </c>
      <c r="H4" s="63" t="inlineStr">
        <is>
          <t>30104762000107</t>
        </is>
      </c>
      <c r="I4" t="inlineStr">
        <is>
          <t>VASCONCELOS &amp; RINALDI ENGENHARIA</t>
        </is>
      </c>
      <c r="J4" t="inlineStr">
        <is>
          <t>Percentual</t>
        </is>
      </c>
      <c r="K4" t="n">
        <v>13</v>
      </c>
      <c r="AA4" s="63" t="n"/>
      <c r="AB4" s="39" t="n"/>
      <c r="AC4" s="64" t="n"/>
    </row>
    <row r="5">
      <c r="AA5" s="63" t="n"/>
      <c r="AB5" s="39" t="n"/>
      <c r="AC5" s="64" t="n"/>
    </row>
    <row r="6">
      <c r="AA6" s="63" t="n"/>
      <c r="AB6" s="39" t="n"/>
      <c r="AC6" s="64" t="n"/>
    </row>
    <row r="7">
      <c r="AA7" s="63" t="n"/>
      <c r="AB7" s="39" t="n"/>
      <c r="AC7" s="64" t="n"/>
    </row>
    <row r="8">
      <c r="AA8" s="63" t="n"/>
      <c r="AB8" s="39" t="n"/>
      <c r="AC8" s="64" t="n"/>
    </row>
    <row r="9">
      <c r="AA9" s="63" t="n"/>
      <c r="AB9" s="39" t="n"/>
      <c r="AC9" s="64" t="n"/>
    </row>
    <row r="10">
      <c r="AA10" s="63" t="n"/>
      <c r="AB10" s="39" t="n"/>
      <c r="AC10" s="64" t="n"/>
    </row>
    <row r="11">
      <c r="AA11" s="63" t="n"/>
      <c r="AB11" s="39" t="n"/>
      <c r="AC11" s="64" t="n"/>
    </row>
    <row r="12">
      <c r="AA12" s="63" t="n"/>
      <c r="AB12" s="39" t="n"/>
      <c r="AC12" s="64" t="n"/>
    </row>
    <row r="13">
      <c r="AA13" s="63" t="n"/>
      <c r="AB13" s="39" t="n"/>
      <c r="AC13" s="64" t="n"/>
    </row>
    <row r="14">
      <c r="AB14" s="39" t="n"/>
      <c r="AC14" s="64" t="n"/>
    </row>
    <row r="15">
      <c r="AB15" s="39" t="n"/>
      <c r="AC15" s="6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emilia.mga@gmail.com</dc:creator>
  <dcterms:created xsi:type="dcterms:W3CDTF">2024-03-28T14:12:47Z</dcterms:created>
  <dcterms:modified xsi:type="dcterms:W3CDTF">2025-04-29T13:33:17Z</dcterms:modified>
  <cp:lastModifiedBy>Marcelo Augusto da Silva Machado</cp:lastModifiedBy>
  <cp:lastPrinted>2024-10-16T15:05:30Z</cp:lastPrinted>
</cp:coreProperties>
</file>